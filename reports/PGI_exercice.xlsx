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DD unique" sheetId="1" state="visible" r:id="rId3"/>
    <sheet name="fiche de paye" sheetId="2" state="visible" r:id="rId4"/>
    <sheet name="Vente" sheetId="3" state="visible" r:id="rId5"/>
    <sheet name="Achat" sheetId="4" state="visible" r:id="rId6"/>
    <sheet name="Stock" sheetId="5" state="visible" r:id="rId7"/>
    <sheet name="Finance" sheetId="6" state="visible" r:id="rId8"/>
    <sheet name="Décisionnel" sheetId="7" state="visible" r:id="rId9"/>
  </sheets>
  <definedNames>
    <definedName function="false" hidden="false" name="entreprise" vbProcedure="false">#REF!</definedName>
    <definedName function="false" hidden="false" name="Produit" vbProcedure="false">#REF!</definedName>
    <definedName function="false" hidden="false" name="salarié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<sst xmlns="http://schemas.openxmlformats.org/spreadsheetml/2006/main" count="154" uniqueCount="136">
  <si>
    <t xml:space="preserve">TABLE SALARIE</t>
  </si>
  <si>
    <t xml:space="preserve">matricule</t>
  </si>
  <si>
    <t xml:space="preserve">nom</t>
  </si>
  <si>
    <t xml:space="preserve">prénom</t>
  </si>
  <si>
    <t xml:space="preserve">date naissance</t>
  </si>
  <si>
    <t xml:space="preserve">fonction</t>
  </si>
  <si>
    <t xml:space="preserve">salaire (brut)</t>
  </si>
  <si>
    <t xml:space="preserve">Martin</t>
  </si>
  <si>
    <t xml:space="preserve">Paul</t>
  </si>
  <si>
    <t xml:space="preserve">ingénieur</t>
  </si>
  <si>
    <t xml:space="preserve">Bernard</t>
  </si>
  <si>
    <t xml:space="preserve">Sébastien</t>
  </si>
  <si>
    <t xml:space="preserve">technicien</t>
  </si>
  <si>
    <t xml:space="preserve">Domenech</t>
  </si>
  <si>
    <t xml:space="preserve">Raymon</t>
  </si>
  <si>
    <t xml:space="preserve">chef de projet</t>
  </si>
  <si>
    <t xml:space="preserve">Chirac</t>
  </si>
  <si>
    <t xml:space="preserve">Bernadette</t>
  </si>
  <si>
    <t xml:space="preserve">secrétaire</t>
  </si>
  <si>
    <t xml:space="preserve">Hollande</t>
  </si>
  <si>
    <t xml:space="preserve">François</t>
  </si>
  <si>
    <t xml:space="preserve">PDG</t>
  </si>
  <si>
    <t xml:space="preserve">Vaillant</t>
  </si>
  <si>
    <t xml:space="preserve">commercial</t>
  </si>
  <si>
    <t xml:space="preserve">Faure</t>
  </si>
  <si>
    <t xml:space="preserve">Michel</t>
  </si>
  <si>
    <t xml:space="preserve">Huster</t>
  </si>
  <si>
    <t xml:space="preserve">Françis</t>
  </si>
  <si>
    <t xml:space="preserve">TABLE PRODUIT</t>
  </si>
  <si>
    <t xml:space="preserve">id</t>
  </si>
  <si>
    <t xml:space="preserve">prix vente</t>
  </si>
  <si>
    <t xml:space="preserve">prix achat</t>
  </si>
  <si>
    <t xml:space="preserve">Peugeot 406</t>
  </si>
  <si>
    <t xml:space="preserve">BMW série 3</t>
  </si>
  <si>
    <t xml:space="preserve">Renault mégane</t>
  </si>
  <si>
    <t xml:space="preserve">Renault clio</t>
  </si>
  <si>
    <t xml:space="preserve">Table Entreprise</t>
  </si>
  <si>
    <t xml:space="preserve">adresse</t>
  </si>
  <si>
    <t xml:space="preserve">CP</t>
  </si>
  <si>
    <t xml:space="preserve">VILLE</t>
  </si>
  <si>
    <t xml:space="preserve">n°SIRET</t>
  </si>
  <si>
    <t xml:space="preserve">Concessionnaire Senghor</t>
  </si>
  <si>
    <t xml:space="preserve">Place Pierre Beregovoy</t>
  </si>
  <si>
    <t xml:space="preserve">MAGNANVILLE</t>
  </si>
  <si>
    <t xml:space="preserve">BULLETIN DE PAIE - CADRE</t>
  </si>
  <si>
    <t xml:space="preserve">EMPLOYEUR:</t>
  </si>
  <si>
    <t xml:space="preserve">SALARIE:</t>
  </si>
  <si>
    <t xml:space="preserve">Nom:</t>
  </si>
  <si>
    <t xml:space="preserve">matricule du salarié :</t>
  </si>
  <si>
    <t xml:space="preserve">Adresse:</t>
  </si>
  <si>
    <t xml:space="preserve">Nom et Prénom:</t>
  </si>
  <si>
    <t xml:space="preserve">CP et Ville :</t>
  </si>
  <si>
    <t xml:space="preserve">Date naissance</t>
  </si>
  <si>
    <t xml:space="preserve">Numéro SIRET:</t>
  </si>
  <si>
    <t xml:space="preserve">SALAIRE BRUT</t>
  </si>
  <si>
    <t xml:space="preserve">COTISATIONS</t>
  </si>
  <si>
    <t xml:space="preserve">PART SALARIALE</t>
  </si>
  <si>
    <t xml:space="preserve">PART PATRONALE</t>
  </si>
  <si>
    <t xml:space="preserve">Base</t>
  </si>
  <si>
    <t xml:space="preserve">Taux</t>
  </si>
  <si>
    <t xml:space="preserve">Montant</t>
  </si>
  <si>
    <t xml:space="preserve">CSG non déductible</t>
  </si>
  <si>
    <t xml:space="preserve">CRDS non déductible</t>
  </si>
  <si>
    <t xml:space="preserve">Csg déductible</t>
  </si>
  <si>
    <t xml:space="preserve">Sécurité sociale</t>
  </si>
  <si>
    <t xml:space="preserve">Assurance maladie</t>
  </si>
  <si>
    <t xml:space="preserve">Assurance veuvage</t>
  </si>
  <si>
    <t xml:space="preserve">Assurance vieillesse</t>
  </si>
  <si>
    <t xml:space="preserve">AV déplafonée</t>
  </si>
  <si>
    <t xml:space="preserve">AV plafonnée</t>
  </si>
  <si>
    <t xml:space="preserve">Accidents du travail</t>
  </si>
  <si>
    <t xml:space="preserve">Allocation familiales</t>
  </si>
  <si>
    <t xml:space="preserve">Aide au logement</t>
  </si>
  <si>
    <t xml:space="preserve">AL déplafonée</t>
  </si>
  <si>
    <t xml:space="preserve">AL plafonnée</t>
  </si>
  <si>
    <t xml:space="preserve">ASSEDIC</t>
  </si>
  <si>
    <t xml:space="preserve">Assurance chômage tranche B</t>
  </si>
  <si>
    <t xml:space="preserve">Assurance chômage tranche AGS (FNGS)</t>
  </si>
  <si>
    <t xml:space="preserve">Caisse de retraite (cadre)</t>
  </si>
  <si>
    <t xml:space="preserve">Retraite complémentaire et AGFF tranche B</t>
  </si>
  <si>
    <t xml:space="preserve">APEC</t>
  </si>
  <si>
    <t xml:space="preserve">Assurance décès des cadres</t>
  </si>
  <si>
    <t xml:space="preserve">CET</t>
  </si>
  <si>
    <t xml:space="preserve">TOTAL des cotisations</t>
  </si>
  <si>
    <t xml:space="preserve">Net à payer</t>
  </si>
  <si>
    <t xml:space="preserve">Salaire net imposable</t>
  </si>
  <si>
    <t xml:space="preserve">A CONSERVER SANS LIMITATION DE DUREE</t>
  </si>
  <si>
    <t xml:space="preserve">MODULE VENTE</t>
  </si>
  <si>
    <t xml:space="preserve">Sélectionnez le produit vendu</t>
  </si>
  <si>
    <t xml:space="preserve">saisir la qté vendu</t>
  </si>
  <si>
    <t xml:space="preserve">Sélectionnez le commercial</t>
  </si>
  <si>
    <t xml:space="preserve">Historique des ventes</t>
  </si>
  <si>
    <t xml:space="preserve">date vente</t>
  </si>
  <si>
    <t xml:space="preserve">n° produit vendu</t>
  </si>
  <si>
    <t xml:space="preserve">quantité vendu</t>
  </si>
  <si>
    <t xml:space="preserve">n° commercial</t>
  </si>
  <si>
    <t xml:space="preserve">Prix unitaire vente</t>
  </si>
  <si>
    <t xml:space="preserve">Prix total</t>
  </si>
  <si>
    <t xml:space="preserve">MOYENNE</t>
  </si>
  <si>
    <t xml:space="preserve">TOTAL</t>
  </si>
  <si>
    <t xml:space="preserve">MODULE ACHAT</t>
  </si>
  <si>
    <t xml:space="preserve">Sélectionnez le produit acheté</t>
  </si>
  <si>
    <t xml:space="preserve">saisir la qté acheté</t>
  </si>
  <si>
    <t xml:space="preserve">Historique des achats</t>
  </si>
  <si>
    <t xml:space="preserve">n° produit acheté</t>
  </si>
  <si>
    <t xml:space="preserve">quantité acheté</t>
  </si>
  <si>
    <t xml:space="preserve">Prix unitaire achat</t>
  </si>
  <si>
    <t xml:space="preserve">MODULE STOCK</t>
  </si>
  <si>
    <t xml:space="preserve">id produit</t>
  </si>
  <si>
    <t xml:space="preserve">nom produit</t>
  </si>
  <si>
    <t xml:space="preserve">Prix unitaire (achat)</t>
  </si>
  <si>
    <t xml:space="preserve">qté vendu</t>
  </si>
  <si>
    <t xml:space="preserve">qte acheté</t>
  </si>
  <si>
    <t xml:space="preserve">qté stock</t>
  </si>
  <si>
    <t xml:space="preserve">Valeur stock</t>
  </si>
  <si>
    <t xml:space="preserve">MODULE FINANCE</t>
  </si>
  <si>
    <t xml:space="preserve">Année 2015</t>
  </si>
  <si>
    <t xml:space="preserve">Charge</t>
  </si>
  <si>
    <t xml:space="preserve">Recette</t>
  </si>
  <si>
    <t xml:space="preserve">Total des salaires</t>
  </si>
  <si>
    <t xml:space="preserve">Chiffre d'Affaire</t>
  </si>
  <si>
    <t xml:space="preserve">Achats</t>
  </si>
  <si>
    <t xml:space="preserve">Divers charges</t>
  </si>
  <si>
    <t xml:space="preserve">Résultat Net</t>
  </si>
  <si>
    <t xml:space="preserve">MODULE Décisionnel
 (BI : BUSINESS INTELIGENCE)</t>
  </si>
  <si>
    <t xml:space="preserve">Ventes des vendeurs</t>
  </si>
  <si>
    <t xml:space="preserve">vendeur</t>
  </si>
  <si>
    <t xml:space="preserve">Total</t>
  </si>
  <si>
    <t xml:space="preserve">Voitures vendues</t>
  </si>
  <si>
    <t xml:space="preserve">Voiture</t>
  </si>
  <si>
    <t xml:space="preserve">Bénéfices par voiture</t>
  </si>
  <si>
    <t xml:space="preserve">Prix achat</t>
  </si>
  <si>
    <t xml:space="preserve">Prix vente</t>
  </si>
  <si>
    <t xml:space="preserve">Bénéfice pour 1 voiture vendue</t>
  </si>
  <si>
    <t xml:space="preserve">nb voiture vendue</t>
  </si>
  <si>
    <t xml:space="preserve">Bénéfice 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</si>
</sst>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/d/yyyy"/>
    <numFmt numFmtId="166" formatCode="0"/>
    <numFmt numFmtId="167" formatCode="dd/mm/yyyy"/>
    <numFmt numFmtId="168" formatCode="#,##0.00&quot; €&quot;"/>
    <numFmt numFmtId="169" formatCode="0.00%"/>
    <numFmt numFmtId="170" formatCode="General"/>
  </numFmts>
  <fonts count="2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2"/>
      <name val="Arial"/>
      <family val="2"/>
      <charset val="1"/>
    </font>
    <font>
      <sz val="12"/>
      <name val="Arial"/>
      <family val="2"/>
      <charset val="1"/>
    </font>
    <font>
      <sz val="10"/>
      <color rgb="FF969696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6"/>
      <name val="Arial"/>
      <family val="2"/>
      <charset val="1"/>
    </font>
    <font>
      <sz val="16"/>
      <name val="Arial"/>
      <family val="2"/>
      <charset val="1"/>
    </font>
    <font>
      <b val="true"/>
      <i val="true"/>
      <sz val="9"/>
      <name val="Arial"/>
      <family val="2"/>
      <charset val="1"/>
    </font>
    <font>
      <b val="true"/>
      <i val="true"/>
      <sz val="10"/>
      <color rgb="FFFFFFFF"/>
      <name val="Arial"/>
      <family val="2"/>
      <charset val="1"/>
    </font>
    <font>
      <sz val="9"/>
      <color rgb="FF99CC00"/>
      <name val="Comic Sans MS"/>
      <family val="4"/>
      <charset val="1"/>
    </font>
    <font>
      <b val="true"/>
      <sz val="26"/>
      <color rgb="FFFFFFFF"/>
      <name val="comic"/>
      <family val="5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000000"/>
      <name val="Calibri"/>
      <family val="2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33399"/>
        <bgColor rgb="FF003366"/>
      </patternFill>
    </fill>
    <fill>
      <patternFill patternType="solid">
        <fgColor rgb="FFCCCCFF"/>
        <bgColor rgb="FFD9D9D9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  <fill>
      <patternFill patternType="solid">
        <fgColor rgb="FF008000"/>
        <bgColor rgb="FF18A303"/>
      </patternFill>
    </fill>
    <fill>
      <patternFill patternType="solid">
        <fgColor rgb="FF339966"/>
        <bgColor rgb="FF18A303"/>
      </patternFill>
    </fill>
    <fill>
      <patternFill patternType="solid">
        <fgColor rgb="FF00FF00"/>
        <bgColor rgb="FF18A303"/>
      </patternFill>
    </fill>
    <fill>
      <patternFill patternType="solid">
        <fgColor rgb="FF0066CC"/>
        <bgColor rgb="FF0369A3"/>
      </patternFill>
    </fill>
    <fill>
      <patternFill patternType="solid">
        <fgColor rgb="FFFF6600"/>
        <bgColor rgb="FFFF9900"/>
      </patternFill>
    </fill>
    <fill>
      <patternFill patternType="solid">
        <fgColor rgb="FFFFCC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003366"/>
        <bgColor rgb="FF333399"/>
      </patternFill>
    </fill>
    <fill>
      <patternFill patternType="solid">
        <fgColor rgb="FF800080"/>
        <bgColor rgb="FF8E03A3"/>
      </patternFill>
    </fill>
    <fill>
      <patternFill patternType="solid">
        <fgColor rgb="FF99CCFF"/>
        <bgColor rgb="FFCCCCFF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0066CC"/>
      </left>
      <right/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thin">
        <color rgb="FF0066CC"/>
      </top>
      <bottom style="thin">
        <color rgb="FF0066CC"/>
      </bottom>
      <diagonal/>
    </border>
    <border diagonalUp="false" diagonalDown="false">
      <left/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 style="thin">
        <color rgb="FF0066CC"/>
      </left>
      <right/>
      <top/>
      <bottom style="thin">
        <color rgb="FF0066CC"/>
      </bottom>
      <diagonal/>
    </border>
    <border diagonalUp="false" diagonalDown="false">
      <left/>
      <right/>
      <top/>
      <bottom style="thin">
        <color rgb="FF0066CC"/>
      </bottom>
      <diagonal/>
    </border>
    <border diagonalUp="false" diagonalDown="false">
      <left/>
      <right style="thin">
        <color rgb="FF0066CC"/>
      </right>
      <top/>
      <bottom style="thin">
        <color rgb="FF0066CC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4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7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7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6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5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6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2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6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6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6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6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1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3" borderId="1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16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16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ont>
        <name val="Calibri"/>
        <charset val="1"/>
        <family val="2"/>
        <color rgb="FFFF6600"/>
        <sz val="11"/>
      </font>
    </dxf>
    <dxf>
      <font>
        <name val="Calibri"/>
        <charset val="1"/>
        <family val="2"/>
        <color rgb="FFFF0000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0369A3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E03A3"/>
      <rgbColor rgb="FF800000"/>
      <rgbColor rgb="FF18A303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A33E0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35336273428886"/>
          <c:y val="0.122486529110264"/>
          <c:w val="0.349889746416759"/>
          <c:h val="0.77671178867131"/>
        </c:manualLayout>
      </c:layout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Décisionnel!$C$6:$C$8</c:f>
              <c:strCache>
                <c:ptCount val="3"/>
                <c:pt idx="0">
                  <c:v>6 : Vaillant Paul</c:v>
                </c:pt>
                <c:pt idx="1">
                  <c:v>7 : Faure Michel</c:v>
                </c:pt>
                <c:pt idx="2">
                  <c:v>8 : Huster Françis</c:v>
                </c:pt>
              </c:strCache>
            </c:strRef>
          </c:cat>
          <c:val>
            <c:numRef>
              <c:f>Décisionnel!$D$6:$D$8</c:f>
              <c:numCache>
                <c:formatCode>General</c:formatCode>
                <c:ptCount val="3"/>
                <c:pt idx="0">
                  <c:v>46</c:v>
                </c:pt>
                <c:pt idx="1">
                  <c:v>16</c:v>
                </c:pt>
                <c:pt idx="2">
                  <c:v>25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03659006998402"/>
          <c:y val="0.374146981627297"/>
          <c:w val="0.169118862621921"/>
          <c:h val="0.2454068241469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28785954839066"/>
          <c:y val="0.122454342399159"/>
          <c:w val="0.349638381273119"/>
          <c:h val="0.776639075022993"/>
        </c:manualLayout>
      </c:layout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1"/>
          <c:dPt>
            <c:idx val="0"/>
            <c:explosion val="1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explosion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explosion val="1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explosion val="1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Décisionnel!$C$29:$C$32</c:f>
              <c:strCache>
                <c:ptCount val="4"/>
                <c:pt idx="0">
                  <c:v>1 : Peugeot 406</c:v>
                </c:pt>
                <c:pt idx="1">
                  <c:v>2 : BMW série 3</c:v>
                </c:pt>
                <c:pt idx="2">
                  <c:v>3 : Renault mégane</c:v>
                </c:pt>
                <c:pt idx="3">
                  <c:v>4 : Renault clio</c:v>
                </c:pt>
              </c:strCache>
            </c:strRef>
          </c:cat>
          <c:val>
            <c:numRef>
              <c:f>Décisionnel!$D$29:$D$32</c:f>
              <c:numCache>
                <c:formatCode>General</c:formatCode>
                <c:ptCount val="4"/>
                <c:pt idx="0">
                  <c:v>36</c:v>
                </c:pt>
                <c:pt idx="1">
                  <c:v>8</c:v>
                </c:pt>
                <c:pt idx="2">
                  <c:v>20</c:v>
                </c:pt>
                <c:pt idx="3">
                  <c:v>23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8658940397351"/>
          <c:y val="0.333901863028077"/>
          <c:w val="0.184933774834437"/>
          <c:h val="0.3286538966150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DejaVu Sans"/>
              </a:rPr>
              <a:t>Bénéfice total par voiture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8a303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8a30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369a3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33e0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e03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Décisionnel!$A$53:$A$56</c:f>
              <c:strCache>
                <c:ptCount val="4"/>
                <c:pt idx="0">
                  <c:v>1 : Peugeot 406</c:v>
                </c:pt>
                <c:pt idx="1">
                  <c:v>2 : BMW série 3</c:v>
                </c:pt>
                <c:pt idx="2">
                  <c:v>3 : Renault mégane</c:v>
                </c:pt>
                <c:pt idx="3">
                  <c:v>4 : Renault clio</c:v>
                </c:pt>
              </c:strCache>
            </c:strRef>
          </c:cat>
          <c:val>
            <c:numRef>
              <c:f>Décisionnel!$F$53:$F$56</c:f>
              <c:numCache>
                <c:formatCode>#,##0.00" €"</c:formatCode>
                <c:ptCount val="4"/>
                <c:pt idx="0">
                  <c:v>72000</c:v>
                </c:pt>
                <c:pt idx="1">
                  <c:v>8000</c:v>
                </c:pt>
                <c:pt idx="2">
                  <c:v>60000</c:v>
                </c:pt>
                <c:pt idx="3">
                  <c:v>69000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815040</xdr:colOff>
      <xdr:row>9</xdr:row>
      <xdr:rowOff>19440</xdr:rowOff>
    </xdr:from>
    <xdr:to>
      <xdr:col>6</xdr:col>
      <xdr:colOff>180360</xdr:colOff>
      <xdr:row>23</xdr:row>
      <xdr:rowOff>91440</xdr:rowOff>
    </xdr:to>
    <xdr:graphicFrame>
      <xdr:nvGraphicFramePr>
        <xdr:cNvPr id="0" name="Chart 1"/>
        <xdr:cNvGraphicFramePr/>
      </xdr:nvGraphicFramePr>
      <xdr:xfrm>
        <a:off x="815040" y="2676960"/>
        <a:ext cx="6530040" cy="273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1066320</xdr:colOff>
      <xdr:row>32</xdr:row>
      <xdr:rowOff>171000</xdr:rowOff>
    </xdr:from>
    <xdr:to>
      <xdr:col>6</xdr:col>
      <xdr:colOff>421920</xdr:colOff>
      <xdr:row>47</xdr:row>
      <xdr:rowOff>53280</xdr:rowOff>
    </xdr:to>
    <xdr:graphicFrame>
      <xdr:nvGraphicFramePr>
        <xdr:cNvPr id="1" name="Chart 2"/>
        <xdr:cNvGraphicFramePr/>
      </xdr:nvGraphicFramePr>
      <xdr:xfrm>
        <a:off x="1066320" y="7210080"/>
        <a:ext cx="6520320" cy="273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57</xdr:row>
      <xdr:rowOff>0</xdr:rowOff>
    </xdr:from>
    <xdr:to>
      <xdr:col>3</xdr:col>
      <xdr:colOff>1225080</xdr:colOff>
      <xdr:row>74</xdr:row>
      <xdr:rowOff>1080</xdr:rowOff>
    </xdr:to>
    <xdr:graphicFrame>
      <xdr:nvGraphicFramePr>
        <xdr:cNvPr id="2" name="Chart 3"/>
        <xdr:cNvGraphicFramePr/>
      </xdr:nvGraphicFramePr>
      <xdr:xfrm>
        <a:off x="0" y="119919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5" zeroHeight="false" outlineLevelRow="0" outlineLevelCol="0"/>
  <cols>
    <col collapsed="false" customWidth="true" hidden="false" outlineLevel="0" max="1" min="1" style="1" width="16.12"/>
    <col collapsed="false" customWidth="true" hidden="false" outlineLevel="0" max="2" min="2" style="1" width="21.7"/>
    <col collapsed="false" customWidth="true" hidden="false" outlineLevel="0" max="4" min="4" style="1" width="13.99"/>
    <col collapsed="false" customWidth="true" hidden="false" outlineLevel="0" max="5" min="5" style="1" width="14.99"/>
    <col collapsed="false" customWidth="true" hidden="false" outlineLevel="0" max="6" min="6" style="1" width="12.4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customFormat="false" ht="15" hidden="false" customHeight="true" outlineLevel="0" collapsed="false">
      <c r="A3" s="6" t="n">
        <v>1</v>
      </c>
      <c r="B3" s="7" t="s">
        <v>7</v>
      </c>
      <c r="C3" s="7" t="s">
        <v>8</v>
      </c>
      <c r="D3" s="8" t="n">
        <v>21530</v>
      </c>
      <c r="E3" s="8" t="s">
        <v>9</v>
      </c>
      <c r="F3" s="9" t="n">
        <v>4000</v>
      </c>
    </row>
    <row r="4" customFormat="false" ht="15" hidden="false" customHeight="true" outlineLevel="0" collapsed="false">
      <c r="A4" s="10" t="n">
        <v>2</v>
      </c>
      <c r="B4" s="11" t="s">
        <v>10</v>
      </c>
      <c r="C4" s="11" t="s">
        <v>11</v>
      </c>
      <c r="D4" s="12" t="n">
        <v>27437</v>
      </c>
      <c r="E4" s="12" t="s">
        <v>12</v>
      </c>
      <c r="F4" s="13" t="n">
        <v>2000</v>
      </c>
    </row>
    <row r="5" customFormat="false" ht="15" hidden="false" customHeight="true" outlineLevel="0" collapsed="false">
      <c r="A5" s="6" t="n">
        <v>3</v>
      </c>
      <c r="B5" s="7" t="s">
        <v>13</v>
      </c>
      <c r="C5" s="7" t="s">
        <v>14</v>
      </c>
      <c r="D5" s="8" t="n">
        <v>19371</v>
      </c>
      <c r="E5" s="8" t="s">
        <v>15</v>
      </c>
      <c r="F5" s="9" t="n">
        <v>5000</v>
      </c>
    </row>
    <row r="6" customFormat="false" ht="15" hidden="false" customHeight="true" outlineLevel="0" collapsed="false">
      <c r="A6" s="10" t="n">
        <v>4</v>
      </c>
      <c r="B6" s="11" t="s">
        <v>16</v>
      </c>
      <c r="C6" s="11" t="s">
        <v>17</v>
      </c>
      <c r="D6" s="12" t="n">
        <v>30918</v>
      </c>
      <c r="E6" s="12" t="s">
        <v>18</v>
      </c>
      <c r="F6" s="13" t="n">
        <v>2500</v>
      </c>
    </row>
    <row r="7" customFormat="false" ht="15" hidden="false" customHeight="true" outlineLevel="0" collapsed="false">
      <c r="A7" s="6" t="n">
        <v>5</v>
      </c>
      <c r="B7" s="7" t="s">
        <v>19</v>
      </c>
      <c r="C7" s="7" t="s">
        <v>20</v>
      </c>
      <c r="D7" s="8" t="n">
        <v>18305</v>
      </c>
      <c r="E7" s="8" t="s">
        <v>21</v>
      </c>
      <c r="F7" s="9" t="n">
        <v>10000</v>
      </c>
    </row>
    <row r="8" customFormat="false" ht="15" hidden="false" customHeight="true" outlineLevel="0" collapsed="false">
      <c r="A8" s="10" t="n">
        <v>6</v>
      </c>
      <c r="B8" s="11" t="s">
        <v>22</v>
      </c>
      <c r="C8" s="11" t="s">
        <v>8</v>
      </c>
      <c r="D8" s="12" t="n">
        <v>29231</v>
      </c>
      <c r="E8" s="12" t="s">
        <v>23</v>
      </c>
      <c r="F8" s="13" t="n">
        <v>2800</v>
      </c>
    </row>
    <row r="9" customFormat="false" ht="15" hidden="false" customHeight="true" outlineLevel="0" collapsed="false">
      <c r="A9" s="6" t="n">
        <v>7</v>
      </c>
      <c r="B9" s="7" t="s">
        <v>24</v>
      </c>
      <c r="C9" s="7" t="s">
        <v>25</v>
      </c>
      <c r="D9" s="8" t="n">
        <v>27637</v>
      </c>
      <c r="E9" s="8" t="s">
        <v>23</v>
      </c>
      <c r="F9" s="9" t="n">
        <v>3000</v>
      </c>
    </row>
    <row r="10" customFormat="false" ht="15" hidden="false" customHeight="true" outlineLevel="0" collapsed="false">
      <c r="A10" s="10" t="n">
        <v>8</v>
      </c>
      <c r="B10" s="11" t="s">
        <v>26</v>
      </c>
      <c r="C10" s="11" t="s">
        <v>27</v>
      </c>
      <c r="D10" s="12" t="n">
        <v>29638</v>
      </c>
      <c r="E10" s="12" t="s">
        <v>23</v>
      </c>
      <c r="F10" s="13" t="n">
        <v>2600</v>
      </c>
    </row>
    <row r="12" customFormat="false" ht="15" hidden="false" customHeight="true" outlineLevel="0" collapsed="false">
      <c r="A12" s="2" t="s">
        <v>28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3" t="s">
        <v>29</v>
      </c>
      <c r="B13" s="4" t="s">
        <v>2</v>
      </c>
      <c r="C13" s="4" t="s">
        <v>30</v>
      </c>
      <c r="D13" s="5" t="s">
        <v>31</v>
      </c>
    </row>
    <row r="14" customFormat="false" ht="15" hidden="false" customHeight="true" outlineLevel="0" collapsed="false">
      <c r="A14" s="6" t="n">
        <v>1</v>
      </c>
      <c r="B14" s="7" t="s">
        <v>32</v>
      </c>
      <c r="C14" s="7" t="n">
        <v>21000</v>
      </c>
      <c r="D14" s="9" t="n">
        <v>19000</v>
      </c>
    </row>
    <row r="15" customFormat="false" ht="15" hidden="false" customHeight="true" outlineLevel="0" collapsed="false">
      <c r="A15" s="10" t="n">
        <v>2</v>
      </c>
      <c r="B15" s="11" t="s">
        <v>33</v>
      </c>
      <c r="C15" s="11" t="n">
        <v>32000</v>
      </c>
      <c r="D15" s="13" t="n">
        <v>31000</v>
      </c>
    </row>
    <row r="16" customFormat="false" ht="15" hidden="false" customHeight="true" outlineLevel="0" collapsed="false">
      <c r="A16" s="6" t="n">
        <v>3</v>
      </c>
      <c r="B16" s="7" t="s">
        <v>34</v>
      </c>
      <c r="C16" s="7" t="n">
        <v>15000</v>
      </c>
      <c r="D16" s="9" t="n">
        <v>12000</v>
      </c>
    </row>
    <row r="17" customFormat="false" ht="15" hidden="false" customHeight="true" outlineLevel="0" collapsed="false">
      <c r="A17" s="10" t="n">
        <v>4</v>
      </c>
      <c r="B17" s="11" t="s">
        <v>35</v>
      </c>
      <c r="C17" s="11" t="n">
        <v>10000</v>
      </c>
      <c r="D17" s="13" t="n">
        <v>7000</v>
      </c>
    </row>
    <row r="19" customFormat="false" ht="15" hidden="false" customHeight="true" outlineLevel="0" collapsed="false">
      <c r="A19" s="2" t="s">
        <v>36</v>
      </c>
      <c r="B19" s="14"/>
      <c r="C19" s="14"/>
      <c r="D19" s="14"/>
      <c r="E19" s="14"/>
      <c r="F19" s="14"/>
    </row>
    <row r="20" customFormat="false" ht="15" hidden="false" customHeight="true" outlineLevel="0" collapsed="false">
      <c r="A20" s="3" t="s">
        <v>2</v>
      </c>
      <c r="B20" s="4" t="s">
        <v>37</v>
      </c>
      <c r="C20" s="4" t="s">
        <v>38</v>
      </c>
      <c r="D20" s="4" t="s">
        <v>39</v>
      </c>
      <c r="E20" s="5" t="s">
        <v>40</v>
      </c>
    </row>
    <row r="21" customFormat="false" ht="30" hidden="false" customHeight="true" outlineLevel="0" collapsed="false">
      <c r="A21" s="15" t="s">
        <v>41</v>
      </c>
      <c r="B21" s="7" t="s">
        <v>42</v>
      </c>
      <c r="C21" s="7" t="n">
        <v>78200</v>
      </c>
      <c r="D21" s="7" t="s">
        <v>43</v>
      </c>
      <c r="E21" s="16" t="n">
        <v>15478652333214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96484375" defaultRowHeight="15" zeroHeight="false" outlineLevelRow="0" outlineLevelCol="0"/>
  <cols>
    <col collapsed="false" customWidth="true" hidden="false" outlineLevel="0" max="1" min="1" style="1" width="1.56"/>
    <col collapsed="false" customWidth="true" hidden="false" outlineLevel="0" max="7" min="7" style="1" width="14.41"/>
    <col collapsed="false" customWidth="true" hidden="false" outlineLevel="0" max="8" min="8" style="1" width="13.99"/>
    <col collapsed="false" customWidth="true" hidden="false" outlineLevel="0" max="9" min="9" style="1" width="12.56"/>
    <col collapsed="false" customWidth="true" hidden="false" outlineLevel="0" max="11" min="11" style="1" width="15.99"/>
  </cols>
  <sheetData>
    <row r="1" customFormat="false" ht="18.75" hidden="false" customHeight="true" outlineLevel="0" collapsed="false">
      <c r="B1" s="17" t="s">
        <v>44</v>
      </c>
      <c r="C1" s="17"/>
      <c r="D1" s="17"/>
      <c r="E1" s="17"/>
      <c r="F1" s="17"/>
      <c r="G1" s="17"/>
      <c r="H1" s="17"/>
      <c r="I1" s="17"/>
      <c r="J1" s="17"/>
      <c r="K1" s="17"/>
    </row>
    <row r="2" customFormat="false" ht="16.5" hidden="false" customHeight="true" outlineLevel="0" collapsed="false">
      <c r="B2" s="18" t="s">
        <v>45</v>
      </c>
      <c r="C2" s="18"/>
      <c r="D2" s="18"/>
      <c r="E2" s="18"/>
      <c r="F2" s="18"/>
      <c r="G2" s="18" t="s">
        <v>46</v>
      </c>
      <c r="H2" s="18"/>
      <c r="I2" s="18"/>
      <c r="J2" s="18"/>
      <c r="K2" s="18"/>
    </row>
    <row r="3" customFormat="false" ht="15.75" hidden="false" customHeight="true" outlineLevel="0" collapsed="false">
      <c r="B3" s="19" t="s">
        <v>47</v>
      </c>
      <c r="C3" s="19"/>
      <c r="D3" s="20" t="str">
        <f aca="false">'BDD unique'!A21</f>
        <v>Concessionnaire Senghor</v>
      </c>
      <c r="E3" s="20"/>
      <c r="F3" s="20"/>
      <c r="G3" s="19" t="s">
        <v>48</v>
      </c>
      <c r="H3" s="19"/>
      <c r="I3" s="21" t="n">
        <v>5</v>
      </c>
      <c r="J3" s="21"/>
      <c r="K3" s="21"/>
    </row>
    <row r="4" customFormat="false" ht="15.75" hidden="false" customHeight="true" outlineLevel="0" collapsed="false">
      <c r="B4" s="22" t="s">
        <v>49</v>
      </c>
      <c r="C4" s="23"/>
      <c r="D4" s="24" t="str">
        <f aca="false">'BDD unique'!B21</f>
        <v>Place Pierre Beregovoy</v>
      </c>
      <c r="E4" s="25"/>
      <c r="F4" s="26"/>
      <c r="G4" s="22" t="s">
        <v>50</v>
      </c>
      <c r="H4" s="23"/>
      <c r="I4" s="27" t="str">
        <f aca="false">CONCATENATE(VLOOKUP(I3,'BDD unique'!A3:F10,2,FALSE())," ",VLOOKUP(I3,'BDD unique'!A3:F10,3,FALSE()))</f>
        <v>Hollande François</v>
      </c>
      <c r="J4" s="27"/>
      <c r="K4" s="27"/>
    </row>
    <row r="5" customFormat="false" ht="15.75" hidden="false" customHeight="true" outlineLevel="0" collapsed="false">
      <c r="B5" s="22" t="s">
        <v>51</v>
      </c>
      <c r="C5" s="23"/>
      <c r="D5" s="28" t="str">
        <f aca="false">CONCATENATE('BDD unique'!C21," ",'BDD unique'!D21)</f>
        <v>78200 MAGNANVILLE</v>
      </c>
      <c r="E5" s="28"/>
      <c r="F5" s="28"/>
      <c r="G5" s="22" t="s">
        <v>52</v>
      </c>
      <c r="H5" s="22"/>
      <c r="I5" s="29" t="n">
        <f aca="false">VLOOKUP(I3,'BDD unique'!A3:F10,4,FALSE())</f>
        <v>18305</v>
      </c>
      <c r="J5" s="29"/>
      <c r="K5" s="29"/>
    </row>
    <row r="6" customFormat="false" ht="15.75" hidden="false" customHeight="true" outlineLevel="0" collapsed="false">
      <c r="B6" s="22" t="s">
        <v>53</v>
      </c>
      <c r="C6" s="22"/>
      <c r="D6" s="30" t="n">
        <f aca="false">'BDD unique'!E21</f>
        <v>15478652333214</v>
      </c>
      <c r="E6" s="30"/>
      <c r="F6" s="30"/>
      <c r="G6" s="22" t="s">
        <v>5</v>
      </c>
      <c r="H6" s="22"/>
      <c r="I6" s="31" t="str">
        <f aca="false">VLOOKUP(I3,'BDD unique'!A3:F10,5,FALSE())</f>
        <v>PDG</v>
      </c>
      <c r="J6" s="31"/>
      <c r="K6" s="31"/>
    </row>
    <row r="7" customFormat="false" ht="15.75" hidden="false" customHeight="true" outlineLevel="0" collapsed="false">
      <c r="B7" s="32"/>
      <c r="C7" s="33"/>
      <c r="D7" s="33"/>
      <c r="E7" s="33"/>
      <c r="F7" s="34"/>
      <c r="G7" s="33"/>
      <c r="H7" s="33"/>
      <c r="I7" s="35"/>
      <c r="J7" s="35"/>
      <c r="K7" s="35"/>
    </row>
    <row r="8" customFormat="false" ht="7.5" hidden="false" customHeight="true" outlineLevel="0" collapsed="false">
      <c r="B8" s="36"/>
      <c r="C8" s="37"/>
      <c r="D8" s="37"/>
      <c r="E8" s="37"/>
      <c r="F8" s="37"/>
      <c r="G8" s="37"/>
      <c r="H8" s="37"/>
      <c r="I8" s="38"/>
      <c r="J8" s="38"/>
      <c r="K8" s="39"/>
    </row>
    <row r="9" customFormat="false" ht="15.75" hidden="false" customHeight="true" outlineLevel="0" collapsed="false">
      <c r="B9" s="40" t="s">
        <v>54</v>
      </c>
      <c r="C9" s="40"/>
      <c r="D9" s="40"/>
      <c r="E9" s="40"/>
      <c r="F9" s="40"/>
      <c r="G9" s="41" t="n">
        <f aca="false">VLOOKUP(I3,'BDD unique'!A3:F10,6,FALSE())</f>
        <v>10000</v>
      </c>
      <c r="H9" s="42"/>
      <c r="I9" s="43"/>
      <c r="J9" s="42"/>
      <c r="K9" s="44"/>
    </row>
    <row r="10" customFormat="false" ht="9" hidden="false" customHeight="true" outlineLevel="0" collapsed="false">
      <c r="B10" s="45"/>
      <c r="C10" s="46"/>
      <c r="D10" s="46"/>
      <c r="E10" s="46"/>
      <c r="F10" s="46"/>
      <c r="G10" s="47"/>
      <c r="H10" s="48"/>
      <c r="I10" s="48"/>
      <c r="J10" s="48"/>
      <c r="K10" s="49"/>
    </row>
    <row r="11" customFormat="false" ht="15.75" hidden="false" customHeight="true" outlineLevel="0" collapsed="false">
      <c r="B11" s="50"/>
      <c r="C11" s="51"/>
      <c r="D11" s="51"/>
      <c r="E11" s="51"/>
      <c r="F11" s="51"/>
      <c r="G11" s="52"/>
      <c r="H11" s="33"/>
      <c r="I11" s="33"/>
      <c r="J11" s="33"/>
      <c r="K11" s="34"/>
    </row>
    <row r="12" customFormat="false" ht="8.25" hidden="false" customHeight="true" outlineLevel="0" collapsed="false">
      <c r="B12" s="53"/>
      <c r="C12" s="54"/>
      <c r="D12" s="54"/>
      <c r="E12" s="54"/>
      <c r="F12" s="54"/>
      <c r="G12" s="55"/>
      <c r="J12" s="1"/>
      <c r="K12" s="56"/>
    </row>
    <row r="13" customFormat="false" ht="15.75" hidden="false" customHeight="true" outlineLevel="0" collapsed="false">
      <c r="B13" s="57" t="s">
        <v>55</v>
      </c>
      <c r="C13" s="57"/>
      <c r="D13" s="57"/>
      <c r="E13" s="57"/>
      <c r="F13" s="58" t="s">
        <v>56</v>
      </c>
      <c r="G13" s="58"/>
      <c r="H13" s="58"/>
      <c r="I13" s="58" t="s">
        <v>57</v>
      </c>
      <c r="J13" s="58"/>
      <c r="K13" s="58"/>
    </row>
    <row r="14" customFormat="false" ht="15.75" hidden="false" customHeight="true" outlineLevel="0" collapsed="false">
      <c r="B14" s="57"/>
      <c r="C14" s="57"/>
      <c r="D14" s="57"/>
      <c r="E14" s="57"/>
      <c r="F14" s="59" t="s">
        <v>58</v>
      </c>
      <c r="G14" s="59" t="s">
        <v>59</v>
      </c>
      <c r="H14" s="60" t="s">
        <v>60</v>
      </c>
      <c r="I14" s="60" t="s">
        <v>58</v>
      </c>
      <c r="J14" s="59" t="s">
        <v>59</v>
      </c>
      <c r="K14" s="61" t="s">
        <v>60</v>
      </c>
    </row>
    <row r="15" customFormat="false" ht="15" hidden="false" customHeight="true" outlineLevel="0" collapsed="false">
      <c r="B15" s="62" t="s">
        <v>61</v>
      </c>
      <c r="C15" s="62"/>
      <c r="D15" s="62"/>
      <c r="E15" s="62"/>
      <c r="F15" s="63" t="n">
        <f aca="false">$G$9*97%</f>
        <v>9700</v>
      </c>
      <c r="G15" s="64" t="n">
        <v>0.024</v>
      </c>
      <c r="H15" s="65" t="n">
        <f aca="false">F15*G15</f>
        <v>232.8</v>
      </c>
      <c r="I15" s="63"/>
      <c r="J15" s="64"/>
      <c r="K15" s="44"/>
    </row>
    <row r="16" customFormat="false" ht="15" hidden="false" customHeight="true" outlineLevel="0" collapsed="false">
      <c r="B16" s="66" t="s">
        <v>62</v>
      </c>
      <c r="C16" s="66"/>
      <c r="D16" s="66"/>
      <c r="E16" s="66"/>
      <c r="F16" s="67" t="n">
        <f aca="false">$G$9*97%</f>
        <v>9700</v>
      </c>
      <c r="G16" s="68" t="n">
        <v>0.005</v>
      </c>
      <c r="H16" s="65" t="n">
        <f aca="false">F16*G16</f>
        <v>48.5</v>
      </c>
      <c r="I16" s="67"/>
      <c r="J16" s="68"/>
      <c r="K16" s="44"/>
    </row>
    <row r="17" customFormat="false" ht="15" hidden="false" customHeight="true" outlineLevel="0" collapsed="false">
      <c r="B17" s="66" t="s">
        <v>63</v>
      </c>
      <c r="C17" s="66"/>
      <c r="D17" s="66"/>
      <c r="E17" s="66"/>
      <c r="F17" s="67" t="n">
        <f aca="false">$G$9*97%</f>
        <v>9700</v>
      </c>
      <c r="G17" s="68" t="n">
        <v>0.051</v>
      </c>
      <c r="H17" s="65" t="n">
        <f aca="false">F17*G17</f>
        <v>494.7</v>
      </c>
      <c r="I17" s="67"/>
      <c r="J17" s="68"/>
      <c r="K17" s="44"/>
    </row>
    <row r="18" customFormat="false" ht="15" hidden="false" customHeight="true" outlineLevel="0" collapsed="false">
      <c r="B18" s="69" t="s">
        <v>64</v>
      </c>
      <c r="C18" s="69"/>
      <c r="D18" s="69"/>
      <c r="E18" s="69"/>
      <c r="F18" s="67"/>
      <c r="G18" s="68"/>
      <c r="H18" s="65"/>
      <c r="I18" s="67"/>
      <c r="J18" s="68"/>
      <c r="K18" s="44"/>
    </row>
    <row r="19" customFormat="false" ht="15" hidden="false" customHeight="true" outlineLevel="0" collapsed="false">
      <c r="B19" s="70" t="s">
        <v>65</v>
      </c>
      <c r="C19" s="70"/>
      <c r="D19" s="70"/>
      <c r="E19" s="70"/>
      <c r="F19" s="67" t="n">
        <f aca="false">$G$9</f>
        <v>10000</v>
      </c>
      <c r="G19" s="68" t="n">
        <v>0.0075</v>
      </c>
      <c r="H19" s="65" t="n">
        <f aca="false">F19*G19</f>
        <v>75</v>
      </c>
      <c r="I19" s="67" t="n">
        <f aca="false">$G$9</f>
        <v>10000</v>
      </c>
      <c r="J19" s="68" t="n">
        <v>0.128</v>
      </c>
      <c r="K19" s="71" t="n">
        <f aca="false">I19*J19</f>
        <v>1280</v>
      </c>
    </row>
    <row r="20" customFormat="false" ht="15" hidden="false" customHeight="true" outlineLevel="0" collapsed="false">
      <c r="B20" s="66" t="s">
        <v>66</v>
      </c>
      <c r="C20" s="66"/>
      <c r="D20" s="66"/>
      <c r="E20" s="66"/>
      <c r="F20" s="67" t="n">
        <f aca="false">$G$9</f>
        <v>10000</v>
      </c>
      <c r="G20" s="68" t="n">
        <v>0.001</v>
      </c>
      <c r="H20" s="65" t="n">
        <f aca="false">F20*G20</f>
        <v>10</v>
      </c>
      <c r="I20" s="67"/>
      <c r="J20" s="68"/>
      <c r="K20" s="71"/>
    </row>
    <row r="21" customFormat="false" ht="15" hidden="false" customHeight="true" outlineLevel="0" collapsed="false">
      <c r="B21" s="69" t="s">
        <v>67</v>
      </c>
      <c r="C21" s="69"/>
      <c r="D21" s="69"/>
      <c r="E21" s="69"/>
      <c r="F21" s="67"/>
      <c r="G21" s="68"/>
      <c r="H21" s="65"/>
      <c r="I21" s="67"/>
      <c r="J21" s="68"/>
      <c r="K21" s="71"/>
    </row>
    <row r="22" customFormat="false" ht="15" hidden="false" customHeight="true" outlineLevel="0" collapsed="false">
      <c r="B22" s="66" t="s">
        <v>68</v>
      </c>
      <c r="C22" s="66"/>
      <c r="D22" s="66"/>
      <c r="E22" s="66"/>
      <c r="F22" s="67" t="n">
        <f aca="false">$G$9</f>
        <v>10000</v>
      </c>
      <c r="G22" s="68" t="n">
        <v>0.0655</v>
      </c>
      <c r="H22" s="65" t="n">
        <f aca="false">F22*G22</f>
        <v>655</v>
      </c>
      <c r="I22" s="67" t="n">
        <f aca="false">$G$9</f>
        <v>10000</v>
      </c>
      <c r="J22" s="68" t="n">
        <v>0.016</v>
      </c>
      <c r="K22" s="71" t="n">
        <f aca="false">I22*J22</f>
        <v>160</v>
      </c>
    </row>
    <row r="23" customFormat="false" ht="15" hidden="false" customHeight="true" outlineLevel="0" collapsed="false">
      <c r="B23" s="66" t="s">
        <v>69</v>
      </c>
      <c r="C23" s="66"/>
      <c r="D23" s="66"/>
      <c r="E23" s="66"/>
      <c r="F23" s="67"/>
      <c r="G23" s="68"/>
      <c r="H23" s="65"/>
      <c r="I23" s="67" t="n">
        <f aca="false">IF(I9&gt;0,I9,G9)</f>
        <v>10000</v>
      </c>
      <c r="J23" s="68" t="n">
        <v>0.082</v>
      </c>
      <c r="K23" s="71" t="n">
        <f aca="false">I23*J23</f>
        <v>820</v>
      </c>
    </row>
    <row r="24" customFormat="false" ht="15" hidden="false" customHeight="true" outlineLevel="0" collapsed="false">
      <c r="B24" s="66" t="s">
        <v>70</v>
      </c>
      <c r="C24" s="66"/>
      <c r="D24" s="66"/>
      <c r="E24" s="66"/>
      <c r="F24" s="67"/>
      <c r="G24" s="68"/>
      <c r="H24" s="65"/>
      <c r="I24" s="67" t="n">
        <f aca="false">$G$9</f>
        <v>10000</v>
      </c>
      <c r="J24" s="68" t="n">
        <v>0.073</v>
      </c>
      <c r="K24" s="71" t="n">
        <f aca="false">I24*J24</f>
        <v>730</v>
      </c>
    </row>
    <row r="25" customFormat="false" ht="15" hidden="false" customHeight="true" outlineLevel="0" collapsed="false">
      <c r="B25" s="66" t="s">
        <v>71</v>
      </c>
      <c r="C25" s="66"/>
      <c r="D25" s="66"/>
      <c r="E25" s="66"/>
      <c r="F25" s="67"/>
      <c r="G25" s="68"/>
      <c r="H25" s="65"/>
      <c r="I25" s="67" t="n">
        <f aca="false">$G$9</f>
        <v>10000</v>
      </c>
      <c r="J25" s="68" t="n">
        <v>0.054</v>
      </c>
      <c r="K25" s="71" t="n">
        <f aca="false">I25*J25</f>
        <v>540</v>
      </c>
    </row>
    <row r="26" customFormat="false" ht="15" hidden="false" customHeight="true" outlineLevel="0" collapsed="false">
      <c r="B26" s="69" t="s">
        <v>72</v>
      </c>
      <c r="C26" s="69"/>
      <c r="D26" s="69"/>
      <c r="E26" s="69"/>
      <c r="F26" s="67"/>
      <c r="G26" s="68"/>
      <c r="H26" s="65"/>
      <c r="I26" s="67"/>
      <c r="J26" s="68"/>
      <c r="K26" s="71"/>
    </row>
    <row r="27" customFormat="false" ht="15" hidden="false" customHeight="true" outlineLevel="0" collapsed="false">
      <c r="B27" s="66" t="s">
        <v>73</v>
      </c>
      <c r="C27" s="66"/>
      <c r="D27" s="66"/>
      <c r="E27" s="66"/>
      <c r="F27" s="67"/>
      <c r="G27" s="68"/>
      <c r="H27" s="65"/>
      <c r="I27" s="67" t="n">
        <f aca="false">$G$9</f>
        <v>10000</v>
      </c>
      <c r="J27" s="68" t="n">
        <v>0.004</v>
      </c>
      <c r="K27" s="71" t="n">
        <f aca="false">I27*J27</f>
        <v>40</v>
      </c>
    </row>
    <row r="28" customFormat="false" ht="15" hidden="false" customHeight="true" outlineLevel="0" collapsed="false">
      <c r="B28" s="66" t="s">
        <v>74</v>
      </c>
      <c r="C28" s="66"/>
      <c r="D28" s="66"/>
      <c r="E28" s="66"/>
      <c r="F28" s="67"/>
      <c r="G28" s="68"/>
      <c r="H28" s="65"/>
      <c r="I28" s="67" t="n">
        <f aca="false">$G$9</f>
        <v>10000</v>
      </c>
      <c r="J28" s="68" t="n">
        <v>0.001</v>
      </c>
      <c r="K28" s="71" t="n">
        <f aca="false">I28*J28</f>
        <v>10</v>
      </c>
    </row>
    <row r="29" customFormat="false" ht="15" hidden="false" customHeight="true" outlineLevel="0" collapsed="false">
      <c r="B29" s="69" t="s">
        <v>75</v>
      </c>
      <c r="C29" s="69"/>
      <c r="D29" s="69"/>
      <c r="E29" s="69"/>
      <c r="F29" s="72"/>
      <c r="G29" s="72"/>
      <c r="H29" s="65"/>
      <c r="I29" s="67"/>
      <c r="J29" s="68"/>
      <c r="K29" s="71"/>
    </row>
    <row r="30" customFormat="false" ht="15" hidden="false" customHeight="true" outlineLevel="0" collapsed="false">
      <c r="B30" s="66" t="s">
        <v>76</v>
      </c>
      <c r="C30" s="66"/>
      <c r="D30" s="66"/>
      <c r="E30" s="66"/>
      <c r="F30" s="67" t="n">
        <f aca="false">IF(I9&gt;0,I9,0)</f>
        <v>0</v>
      </c>
      <c r="G30" s="68" t="n">
        <v>0.024</v>
      </c>
      <c r="H30" s="65" t="n">
        <f aca="false">F30*G30</f>
        <v>0</v>
      </c>
      <c r="I30" s="67" t="n">
        <f aca="false">F30</f>
        <v>0</v>
      </c>
      <c r="J30" s="68" t="n">
        <v>0.04</v>
      </c>
      <c r="K30" s="71" t="n">
        <f aca="false">I30*J30</f>
        <v>0</v>
      </c>
    </row>
    <row r="31" customFormat="false" ht="15" hidden="false" customHeight="true" outlineLevel="0" collapsed="false">
      <c r="B31" s="66" t="s">
        <v>77</v>
      </c>
      <c r="C31" s="66"/>
      <c r="D31" s="66"/>
      <c r="E31" s="66"/>
      <c r="F31" s="73"/>
      <c r="G31" s="68"/>
      <c r="H31" s="65"/>
      <c r="I31" s="67" t="n">
        <f aca="false">$G$9</f>
        <v>10000</v>
      </c>
      <c r="J31" s="68" t="n">
        <v>0.004</v>
      </c>
      <c r="K31" s="71" t="n">
        <f aca="false">I31*J31</f>
        <v>40</v>
      </c>
    </row>
    <row r="32" customFormat="false" ht="15" hidden="false" customHeight="true" outlineLevel="0" collapsed="false">
      <c r="B32" s="69" t="s">
        <v>78</v>
      </c>
      <c r="C32" s="69"/>
      <c r="D32" s="69"/>
      <c r="E32" s="69"/>
      <c r="F32" s="67"/>
      <c r="G32" s="68"/>
      <c r="H32" s="65"/>
      <c r="I32" s="67"/>
      <c r="J32" s="74"/>
      <c r="K32" s="75"/>
    </row>
    <row r="33" customFormat="false" ht="15" hidden="false" customHeight="true" outlineLevel="0" collapsed="false">
      <c r="B33" s="66" t="s">
        <v>79</v>
      </c>
      <c r="C33" s="66"/>
      <c r="D33" s="66"/>
      <c r="E33" s="66"/>
      <c r="F33" s="67" t="n">
        <f aca="false">F30</f>
        <v>0</v>
      </c>
      <c r="G33" s="68" t="n">
        <v>0.084</v>
      </c>
      <c r="H33" s="65" t="n">
        <f aca="false">F33*G33</f>
        <v>0</v>
      </c>
      <c r="I33" s="67" t="n">
        <f aca="false">F33</f>
        <v>0</v>
      </c>
      <c r="J33" s="68" t="n">
        <v>0.138</v>
      </c>
      <c r="K33" s="71" t="n">
        <f aca="false">I33*J33</f>
        <v>0</v>
      </c>
    </row>
    <row r="34" customFormat="false" ht="15" hidden="false" customHeight="true" outlineLevel="0" collapsed="false">
      <c r="B34" s="70" t="s">
        <v>80</v>
      </c>
      <c r="C34" s="70"/>
      <c r="D34" s="70"/>
      <c r="E34" s="70"/>
      <c r="F34" s="67" t="n">
        <f aca="false">$G$9</f>
        <v>10000</v>
      </c>
      <c r="G34" s="68" t="n">
        <v>0.00024</v>
      </c>
      <c r="H34" s="65" t="n">
        <f aca="false">F34*G34</f>
        <v>2.4</v>
      </c>
      <c r="I34" s="67" t="n">
        <f aca="false">$G$9</f>
        <v>10000</v>
      </c>
      <c r="J34" s="68" t="n">
        <v>0.00036</v>
      </c>
      <c r="K34" s="71" t="n">
        <f aca="false">I34*J34</f>
        <v>3.6</v>
      </c>
    </row>
    <row r="35" customFormat="false" ht="15" hidden="false" customHeight="true" outlineLevel="0" collapsed="false">
      <c r="B35" s="70" t="s">
        <v>81</v>
      </c>
      <c r="C35" s="70"/>
      <c r="D35" s="70"/>
      <c r="E35" s="70"/>
      <c r="F35" s="67"/>
      <c r="G35" s="68"/>
      <c r="H35" s="65"/>
      <c r="I35" s="67" t="n">
        <f aca="false">$G$9</f>
        <v>10000</v>
      </c>
      <c r="J35" s="68" t="n">
        <v>0.015</v>
      </c>
      <c r="K35" s="71" t="n">
        <f aca="false">I35*J35</f>
        <v>150</v>
      </c>
    </row>
    <row r="36" customFormat="false" ht="15.75" hidden="false" customHeight="true" outlineLevel="0" collapsed="false">
      <c r="B36" s="76" t="s">
        <v>82</v>
      </c>
      <c r="C36" s="76"/>
      <c r="D36" s="76"/>
      <c r="E36" s="76"/>
      <c r="F36" s="77" t="n">
        <f aca="false">$G$9</f>
        <v>10000</v>
      </c>
      <c r="G36" s="78" t="n">
        <v>0.0013</v>
      </c>
      <c r="H36" s="47" t="n">
        <f aca="false">F36*G36</f>
        <v>13</v>
      </c>
      <c r="I36" s="77" t="n">
        <f aca="false">$G$9</f>
        <v>10000</v>
      </c>
      <c r="J36" s="78" t="n">
        <v>0.0022</v>
      </c>
      <c r="K36" s="71" t="n">
        <f aca="false">I36*J36</f>
        <v>22</v>
      </c>
    </row>
    <row r="37" customFormat="false" ht="16.5" hidden="false" customHeight="true" outlineLevel="0" collapsed="false">
      <c r="B37" s="18" t="s">
        <v>83</v>
      </c>
      <c r="C37" s="18"/>
      <c r="D37" s="18"/>
      <c r="E37" s="18"/>
      <c r="F37" s="1"/>
      <c r="H37" s="79" t="n">
        <f aca="false">SUM(H15:H36)</f>
        <v>1531.4</v>
      </c>
      <c r="J37" s="1"/>
      <c r="K37" s="80" t="n">
        <f aca="false">SUM(K15:K36)</f>
        <v>3795.6</v>
      </c>
      <c r="L37" s="1"/>
    </row>
    <row r="38" customFormat="false" ht="6.75" hidden="false" customHeight="true" outlineLevel="0" collapsed="false">
      <c r="B38" s="53"/>
      <c r="C38" s="53"/>
      <c r="D38" s="53"/>
      <c r="E38" s="53"/>
      <c r="F38" s="1"/>
      <c r="J38" s="1"/>
      <c r="K38" s="56"/>
      <c r="L38" s="1"/>
    </row>
    <row r="39" customFormat="false" ht="15.75" hidden="false" customHeight="true" outlineLevel="0" collapsed="false">
      <c r="B39" s="81"/>
      <c r="C39" s="81"/>
      <c r="D39" s="81"/>
      <c r="E39" s="81"/>
      <c r="F39" s="82"/>
      <c r="G39" s="82"/>
      <c r="H39" s="82"/>
      <c r="I39" s="82"/>
      <c r="J39" s="82"/>
      <c r="K39" s="83"/>
    </row>
    <row r="40" customFormat="false" ht="5.25" hidden="false" customHeight="true" outlineLevel="0" collapsed="false">
      <c r="B40" s="53"/>
      <c r="C40" s="54"/>
      <c r="D40" s="54"/>
      <c r="E40" s="54"/>
      <c r="F40" s="1"/>
      <c r="J40" s="1"/>
      <c r="K40" s="56"/>
    </row>
    <row r="41" customFormat="false" ht="21" hidden="false" customHeight="true" outlineLevel="0" collapsed="false">
      <c r="B41" s="84"/>
      <c r="C41" s="85"/>
      <c r="D41" s="85"/>
      <c r="E41" s="85"/>
      <c r="F41" s="1"/>
      <c r="G41" s="56"/>
      <c r="H41" s="86" t="s">
        <v>84</v>
      </c>
      <c r="I41" s="87"/>
      <c r="J41" s="87"/>
      <c r="K41" s="88" t="n">
        <f aca="false">G9-H37</f>
        <v>8468.6</v>
      </c>
    </row>
    <row r="42" customFormat="false" ht="7.5" hidden="false" customHeight="true" outlineLevel="0" collapsed="false">
      <c r="B42" s="84"/>
      <c r="C42" s="85"/>
      <c r="D42" s="85"/>
      <c r="E42" s="85"/>
      <c r="F42" s="1"/>
      <c r="H42" s="85"/>
      <c r="J42" s="1"/>
      <c r="K42" s="89"/>
    </row>
    <row r="43" customFormat="false" ht="16.5" hidden="false" customHeight="true" outlineLevel="0" collapsed="false">
      <c r="B43" s="90"/>
      <c r="C43" s="85"/>
      <c r="D43" s="85"/>
      <c r="E43" s="85"/>
      <c r="F43" s="1"/>
      <c r="H43" s="91" t="s">
        <v>85</v>
      </c>
      <c r="I43" s="92"/>
      <c r="J43" s="92"/>
      <c r="K43" s="93" t="n">
        <f aca="false">K41+H15</f>
        <v>8701.4</v>
      </c>
    </row>
    <row r="44" customFormat="false" ht="4.5" hidden="false" customHeight="true" outlineLevel="0" collapsed="false">
      <c r="B44" s="84"/>
      <c r="C44" s="85"/>
      <c r="D44" s="85"/>
      <c r="E44" s="85"/>
      <c r="F44" s="1"/>
      <c r="H44" s="94"/>
      <c r="J44" s="1"/>
      <c r="K44" s="56"/>
    </row>
    <row r="45" customFormat="false" ht="15.75" hidden="false" customHeight="true" outlineLevel="0" collapsed="false">
      <c r="B45" s="95" t="s">
        <v>86</v>
      </c>
      <c r="C45" s="95"/>
      <c r="D45" s="95"/>
      <c r="E45" s="95"/>
      <c r="F45" s="95"/>
      <c r="G45" s="95"/>
      <c r="H45" s="95"/>
      <c r="I45" s="95"/>
      <c r="J45" s="95"/>
      <c r="K45" s="95"/>
    </row>
    <row r="46" customFormat="false" ht="7.5" hidden="false" customHeight="true" outlineLevel="0" collapsed="false">
      <c r="F46" s="1"/>
    </row>
    <row r="47" customFormat="false" ht="6.75" hidden="false" customHeight="true" outlineLevel="0" collapsed="false">
      <c r="F47" s="1"/>
    </row>
    <row r="48" customFormat="false" ht="15" hidden="false" customHeight="true" outlineLevel="0" collapsed="false">
      <c r="F48" s="1"/>
    </row>
    <row r="49" customFormat="false" ht="15" hidden="false" customHeight="true" outlineLevel="0" collapsed="false">
      <c r="F49" s="1"/>
    </row>
    <row r="50" customFormat="false" ht="15" hidden="false" customHeight="true" outlineLevel="0" collapsed="false">
      <c r="F50" s="1"/>
    </row>
    <row r="51" customFormat="false" ht="15" hidden="false" customHeight="true" outlineLevel="0" collapsed="false">
      <c r="F51" s="1"/>
    </row>
    <row r="52" customFormat="false" ht="15" hidden="false" customHeight="true" outlineLevel="0" collapsed="false">
      <c r="F52" s="1"/>
    </row>
    <row r="53" customFormat="false" ht="15.75" hidden="false" customHeight="true" outlineLevel="0" collapsed="false">
      <c r="B53" s="96"/>
      <c r="C53" s="96"/>
      <c r="D53" s="96"/>
      <c r="E53" s="96"/>
      <c r="F53" s="96"/>
      <c r="G53" s="96"/>
    </row>
  </sheetData>
  <mergeCells count="47">
    <mergeCell ref="B1:K1"/>
    <mergeCell ref="B2:F2"/>
    <mergeCell ref="G2:K2"/>
    <mergeCell ref="B3:C3"/>
    <mergeCell ref="D3:F3"/>
    <mergeCell ref="G3:H3"/>
    <mergeCell ref="I3:K3"/>
    <mergeCell ref="I4:K4"/>
    <mergeCell ref="D5:F5"/>
    <mergeCell ref="G5:H5"/>
    <mergeCell ref="I5:K5"/>
    <mergeCell ref="B6:C6"/>
    <mergeCell ref="D6:F6"/>
    <mergeCell ref="G6:H6"/>
    <mergeCell ref="I6:K6"/>
    <mergeCell ref="I7:K7"/>
    <mergeCell ref="B9:F9"/>
    <mergeCell ref="B13:E14"/>
    <mergeCell ref="F13:H13"/>
    <mergeCell ref="I13:K13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5:K45"/>
    <mergeCell ref="B53:G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5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18.28"/>
    <col collapsed="false" customWidth="true" hidden="false" outlineLevel="0" max="3" min="3" style="1" width="21.56"/>
    <col collapsed="false" customWidth="true" hidden="false" outlineLevel="0" max="4" min="4" style="1" width="13.56"/>
    <col collapsed="false" customWidth="true" hidden="false" outlineLevel="0" max="5" min="5" style="1" width="17.56"/>
    <col collapsed="false" customWidth="true" hidden="false" outlineLevel="0" max="6" min="6" style="1" width="13.99"/>
    <col collapsed="false" customWidth="true" hidden="false" outlineLevel="0" max="8" min="8" style="1" width="27.99"/>
    <col collapsed="false" customWidth="true" hidden="false" outlineLevel="0" max="9" min="9" style="1" width="14.28"/>
    <col collapsed="false" customWidth="true" hidden="false" outlineLevel="0" max="15" min="15" style="1" width="17.99"/>
  </cols>
  <sheetData>
    <row r="1" customFormat="false" ht="42" hidden="false" customHeight="true" outlineLevel="0" collapsed="false">
      <c r="A1" s="97" t="s">
        <v>87</v>
      </c>
      <c r="B1" s="97"/>
      <c r="C1" s="97"/>
      <c r="D1" s="97"/>
      <c r="E1" s="97"/>
      <c r="F1" s="97"/>
      <c r="M1" s="1" t="n">
        <f aca="false">'BDD unique'!A14</f>
        <v>1</v>
      </c>
      <c r="N1" s="1" t="str">
        <f aca="false">'BDD unique'!B14</f>
        <v>Peugeot 406</v>
      </c>
      <c r="O1" s="1" t="str">
        <f aca="false">CONCATENATE(M1," : ",N1)</f>
        <v>1 : Peugeot 406</v>
      </c>
      <c r="Q1" s="1" t="n">
        <f aca="false">'BDD unique'!A8</f>
        <v>6</v>
      </c>
      <c r="R1" s="1" t="str">
        <f aca="false">'BDD unique'!B8</f>
        <v>Vaillant</v>
      </c>
      <c r="S1" s="1" t="str">
        <f aca="false">'BDD unique'!C8</f>
        <v>Paul</v>
      </c>
      <c r="T1" s="1" t="str">
        <f aca="false">CONCATENATE(Q1," : ",R1," ",S1)</f>
        <v>6 : Vaillant Paul</v>
      </c>
    </row>
    <row r="2" customFormat="false" ht="15.75" hidden="false" customHeight="true" outlineLevel="0" collapsed="false">
      <c r="M2" s="1" t="n">
        <f aca="false">'BDD unique'!A15</f>
        <v>2</v>
      </c>
      <c r="N2" s="1" t="str">
        <f aca="false">'BDD unique'!B15</f>
        <v>BMW série 3</v>
      </c>
      <c r="O2" s="1" t="str">
        <f aca="false">CONCATENATE(M2," : ",N2)</f>
        <v>2 : BMW série 3</v>
      </c>
      <c r="Q2" s="1" t="n">
        <f aca="false">'BDD unique'!A9</f>
        <v>7</v>
      </c>
      <c r="R2" s="1" t="str">
        <f aca="false">'BDD unique'!B9</f>
        <v>Faure</v>
      </c>
      <c r="S2" s="1" t="str">
        <f aca="false">'BDD unique'!C9</f>
        <v>Michel</v>
      </c>
      <c r="T2" s="1" t="str">
        <f aca="false">CONCATENATE(Q2," : ",R2," ",S2)</f>
        <v>7 : Faure Michel</v>
      </c>
    </row>
    <row r="3" customFormat="false" ht="15" hidden="false" customHeight="true" outlineLevel="0" collapsed="false">
      <c r="A3" s="98" t="s">
        <v>88</v>
      </c>
      <c r="B3" s="99"/>
      <c r="C3" s="100"/>
      <c r="M3" s="1" t="n">
        <f aca="false">'BDD unique'!A16</f>
        <v>3</v>
      </c>
      <c r="N3" s="1" t="str">
        <f aca="false">'BDD unique'!B16</f>
        <v>Renault mégane</v>
      </c>
      <c r="O3" s="1" t="str">
        <f aca="false">CONCATENATE(M3," : ",N3)</f>
        <v>3 : Renault mégane</v>
      </c>
      <c r="Q3" s="1" t="n">
        <f aca="false">'BDD unique'!A10</f>
        <v>8</v>
      </c>
      <c r="R3" s="1" t="str">
        <f aca="false">'BDD unique'!B10</f>
        <v>Huster</v>
      </c>
      <c r="S3" s="1" t="str">
        <f aca="false">'BDD unique'!C10</f>
        <v>Françis</v>
      </c>
      <c r="T3" s="1" t="str">
        <f aca="false">CONCATENATE(Q3," : ",R3," ",S3)</f>
        <v>8 : Huster Françis</v>
      </c>
    </row>
    <row r="4" customFormat="false" ht="15" hidden="false" customHeight="true" outlineLevel="0" collapsed="false">
      <c r="A4" s="101" t="s">
        <v>89</v>
      </c>
      <c r="B4" s="102"/>
      <c r="C4" s="103"/>
      <c r="M4" s="1" t="n">
        <f aca="false">'BDD unique'!A17</f>
        <v>4</v>
      </c>
      <c r="N4" s="1" t="str">
        <f aca="false">'BDD unique'!B17</f>
        <v>Renault clio</v>
      </c>
      <c r="O4" s="1" t="str">
        <f aca="false">CONCATENATE(M4," : ",N4)</f>
        <v>4 : Renault clio</v>
      </c>
    </row>
    <row r="5" customFormat="false" ht="15.75" hidden="false" customHeight="true" outlineLevel="0" collapsed="false">
      <c r="A5" s="104" t="s">
        <v>90</v>
      </c>
      <c r="B5" s="105"/>
      <c r="C5" s="106"/>
    </row>
    <row r="7" customFormat="false" ht="3.75" hidden="false" customHeight="true" outlineLevel="0" collapsed="false"/>
    <row r="8" customFormat="false" ht="3.75" hidden="false" customHeight="true" outlineLevel="0" collapsed="false"/>
    <row r="9" customFormat="false" ht="15" hidden="false" customHeight="true" outlineLevel="0" collapsed="false">
      <c r="A9" s="107" t="s">
        <v>91</v>
      </c>
    </row>
    <row r="10" customFormat="false" ht="15" hidden="false" customHeight="true" outlineLevel="0" collapsed="false">
      <c r="A10" s="108" t="s">
        <v>92</v>
      </c>
      <c r="B10" s="108" t="s">
        <v>93</v>
      </c>
      <c r="C10" s="108" t="s">
        <v>94</v>
      </c>
      <c r="D10" s="108" t="s">
        <v>95</v>
      </c>
      <c r="E10" s="108" t="s">
        <v>96</v>
      </c>
      <c r="F10" s="108" t="s">
        <v>97</v>
      </c>
    </row>
    <row r="11" customFormat="false" ht="15" hidden="false" customHeight="true" outlineLevel="0" collapsed="false">
      <c r="A11" s="109" t="n">
        <v>42009</v>
      </c>
      <c r="B11" s="110" t="n">
        <v>2</v>
      </c>
      <c r="C11" s="110" t="n">
        <v>2</v>
      </c>
      <c r="D11" s="110" t="n">
        <v>7</v>
      </c>
      <c r="E11" s="111" t="n">
        <f aca="false">VLOOKUP(B11,'BDD unique'!$A$14:$D$17,3,FALSE())</f>
        <v>32000</v>
      </c>
      <c r="F11" s="111" t="n">
        <f aca="false">E11*C11</f>
        <v>64000</v>
      </c>
    </row>
    <row r="12" customFormat="false" ht="15" hidden="false" customHeight="true" outlineLevel="0" collapsed="false">
      <c r="A12" s="109" t="n">
        <v>42010</v>
      </c>
      <c r="B12" s="110" t="n">
        <v>1</v>
      </c>
      <c r="C12" s="110" t="n">
        <v>2</v>
      </c>
      <c r="D12" s="110" t="n">
        <v>8</v>
      </c>
      <c r="E12" s="111" t="n">
        <f aca="false">VLOOKUP(B12,'BDD unique'!$A$14:$D$17,3,FALSE())</f>
        <v>21000</v>
      </c>
      <c r="F12" s="111" t="n">
        <f aca="false">E12*C12</f>
        <v>42000</v>
      </c>
    </row>
    <row r="13" customFormat="false" ht="15" hidden="false" customHeight="true" outlineLevel="0" collapsed="false">
      <c r="A13" s="109" t="n">
        <v>42011</v>
      </c>
      <c r="B13" s="110" t="n">
        <v>3</v>
      </c>
      <c r="C13" s="110" t="n">
        <v>15</v>
      </c>
      <c r="D13" s="110" t="n">
        <v>6</v>
      </c>
      <c r="E13" s="111" t="n">
        <f aca="false">VLOOKUP(B13,'BDD unique'!$A$14:$D$17,3,FALSE())</f>
        <v>15000</v>
      </c>
      <c r="F13" s="111" t="n">
        <f aca="false">E13*C13</f>
        <v>225000</v>
      </c>
    </row>
    <row r="14" customFormat="false" ht="15" hidden="false" customHeight="true" outlineLevel="0" collapsed="false">
      <c r="A14" s="109" t="n">
        <v>42012</v>
      </c>
      <c r="B14" s="110" t="n">
        <v>4</v>
      </c>
      <c r="C14" s="110" t="n">
        <v>10</v>
      </c>
      <c r="D14" s="110" t="n">
        <v>6</v>
      </c>
      <c r="E14" s="111" t="n">
        <f aca="false">VLOOKUP(B14,'BDD unique'!$A$14:$D$17,3,FALSE())</f>
        <v>10000</v>
      </c>
      <c r="F14" s="111" t="n">
        <f aca="false">E14*C14</f>
        <v>100000</v>
      </c>
    </row>
    <row r="15" customFormat="false" ht="15" hidden="false" customHeight="true" outlineLevel="0" collapsed="false">
      <c r="A15" s="109" t="n">
        <v>42013</v>
      </c>
      <c r="B15" s="110" t="n">
        <v>1</v>
      </c>
      <c r="C15" s="110" t="n">
        <v>10</v>
      </c>
      <c r="D15" s="110" t="n">
        <v>8</v>
      </c>
      <c r="E15" s="111" t="n">
        <f aca="false">VLOOKUP(B15,'BDD unique'!$A$14:$D$17,3,FALSE())</f>
        <v>21000</v>
      </c>
      <c r="F15" s="111" t="n">
        <f aca="false">E15*C15</f>
        <v>210000</v>
      </c>
    </row>
    <row r="16" customFormat="false" ht="15" hidden="false" customHeight="true" outlineLevel="0" collapsed="false">
      <c r="A16" s="109" t="n">
        <v>42014</v>
      </c>
      <c r="B16" s="110" t="n">
        <v>2</v>
      </c>
      <c r="C16" s="110" t="n">
        <v>3</v>
      </c>
      <c r="D16" s="110" t="n">
        <v>8</v>
      </c>
      <c r="E16" s="111" t="n">
        <f aca="false">VLOOKUP(B16,'BDD unique'!$A$14:$D$17,3,FALSE())</f>
        <v>32000</v>
      </c>
      <c r="F16" s="111" t="n">
        <f aca="false">E16*C16</f>
        <v>96000</v>
      </c>
    </row>
    <row r="17" customFormat="false" ht="15" hidden="false" customHeight="true" outlineLevel="0" collapsed="false">
      <c r="A17" s="109" t="n">
        <v>42015</v>
      </c>
      <c r="B17" s="110" t="n">
        <v>1</v>
      </c>
      <c r="C17" s="110" t="n">
        <v>4</v>
      </c>
      <c r="D17" s="110" t="n">
        <v>7</v>
      </c>
      <c r="E17" s="111" t="n">
        <f aca="false">VLOOKUP(B17,'BDD unique'!$A$14:$D$17,3,FALSE())</f>
        <v>21000</v>
      </c>
      <c r="F17" s="111" t="n">
        <f aca="false">E17*C17</f>
        <v>84000</v>
      </c>
    </row>
    <row r="18" customFormat="false" ht="15" hidden="false" customHeight="true" outlineLevel="0" collapsed="false">
      <c r="A18" s="109" t="n">
        <v>42016</v>
      </c>
      <c r="B18" s="110" t="n">
        <v>4</v>
      </c>
      <c r="C18" s="110" t="n">
        <v>10</v>
      </c>
      <c r="D18" s="110" t="n">
        <v>8</v>
      </c>
      <c r="E18" s="111" t="n">
        <f aca="false">VLOOKUP(B18,'BDD unique'!$A$14:$D$17,3,FALSE())</f>
        <v>10000</v>
      </c>
      <c r="F18" s="111" t="n">
        <f aca="false">E18*C18</f>
        <v>100000</v>
      </c>
    </row>
    <row r="19" customFormat="false" ht="15" hidden="false" customHeight="true" outlineLevel="0" collapsed="false">
      <c r="A19" s="109" t="n">
        <v>42017</v>
      </c>
      <c r="B19" s="110" t="n">
        <v>1</v>
      </c>
      <c r="C19" s="110" t="n">
        <v>10</v>
      </c>
      <c r="D19" s="110" t="n">
        <v>7</v>
      </c>
      <c r="E19" s="111" t="n">
        <f aca="false">VLOOKUP(B19,'BDD unique'!$A$14:$D$17,3,FALSE())</f>
        <v>21000</v>
      </c>
      <c r="F19" s="111" t="n">
        <f aca="false">E19*C19</f>
        <v>210000</v>
      </c>
    </row>
    <row r="20" customFormat="false" ht="15" hidden="false" customHeight="true" outlineLevel="0" collapsed="false">
      <c r="A20" s="109" t="n">
        <v>42018</v>
      </c>
      <c r="B20" s="110" t="n">
        <v>2</v>
      </c>
      <c r="C20" s="110" t="n">
        <v>3</v>
      </c>
      <c r="D20" s="110" t="n">
        <v>6</v>
      </c>
      <c r="E20" s="111" t="n">
        <f aca="false">VLOOKUP(B20,'BDD unique'!$A$14:$D$17,3,FALSE())</f>
        <v>32000</v>
      </c>
      <c r="F20" s="111" t="n">
        <f aca="false">E20*C20</f>
        <v>96000</v>
      </c>
    </row>
    <row r="21" customFormat="false" ht="15" hidden="false" customHeight="true" outlineLevel="0" collapsed="false">
      <c r="A21" s="112" t="n">
        <v>42019</v>
      </c>
      <c r="B21" s="1" t="n">
        <v>3</v>
      </c>
      <c r="C21" s="1" t="n">
        <v>5</v>
      </c>
      <c r="D21" s="1" t="n">
        <v>6</v>
      </c>
      <c r="E21" s="1" t="n">
        <f aca="false">VLOOKUP(B21,'BDD unique'!$A$14:$D$17,3,FALSE())</f>
        <v>15000</v>
      </c>
      <c r="F21" s="1" t="n">
        <f aca="false">E21*C21</f>
        <v>75000</v>
      </c>
    </row>
    <row r="22" customFormat="false" ht="15" hidden="false" customHeight="true" outlineLevel="0" collapsed="false">
      <c r="A22" s="112" t="n">
        <v>42019</v>
      </c>
      <c r="B22" s="1" t="n">
        <v>4</v>
      </c>
      <c r="C22" s="1" t="n">
        <v>3</v>
      </c>
      <c r="D22" s="1" t="n">
        <v>6</v>
      </c>
      <c r="E22" s="1" t="n">
        <f aca="false">VLOOKUP(B22,'BDD unique'!$A$14:$D$17,3,FALSE())</f>
        <v>10000</v>
      </c>
      <c r="F22" s="1" t="n">
        <f aca="false">E22*C22</f>
        <v>30000</v>
      </c>
    </row>
    <row r="23" customFormat="false" ht="15" hidden="false" customHeight="true" outlineLevel="0" collapsed="false">
      <c r="A23" s="112" t="n">
        <v>42025</v>
      </c>
      <c r="B23" s="1" t="n">
        <v>1</v>
      </c>
      <c r="C23" s="1" t="n">
        <v>10</v>
      </c>
      <c r="D23" s="1" t="n">
        <v>6</v>
      </c>
      <c r="E23" s="1" t="n">
        <f aca="false">VLOOKUP(B23,'BDD unique'!$A$14:$D$17,3,FALSE())</f>
        <v>21000</v>
      </c>
      <c r="F23" s="1" t="n">
        <f aca="false">E23*C23</f>
        <v>210000</v>
      </c>
    </row>
    <row r="24" customFormat="false" ht="15" hidden="false" customHeight="true" outlineLevel="0" collapsed="false">
      <c r="E24" s="1" t="s">
        <v>98</v>
      </c>
      <c r="F24" s="113" t="n">
        <f aca="false">AVERAGE(F11:F23)</f>
        <v>118615.384615385</v>
      </c>
    </row>
    <row r="25" customFormat="false" ht="15" hidden="false" customHeight="true" outlineLevel="0" collapsed="false">
      <c r="E25" s="1" t="s">
        <v>99</v>
      </c>
      <c r="F25" s="113" t="n">
        <f aca="false">SUM(F11:F23)</f>
        <v>1542000</v>
      </c>
    </row>
  </sheetData>
  <mergeCells count="1">
    <mergeCell ref="A1:F1"/>
  </mergeCells>
  <dataValidations count="3">
    <dataValidation allowBlank="true" errorStyle="stop" operator="between" showDropDown="false" showErrorMessage="true" showInputMessage="false" sqref="C3" type="list">
      <formula1>$O$1:$O$4</formula1>
      <formula2>0</formula2>
    </dataValidation>
    <dataValidation allowBlank="true" errorStyle="stop" operator="greaterThan" showDropDown="false" showErrorMessage="true" showInputMessage="false" sqref="C4" type="whole">
      <formula1>0</formula1>
      <formula2>0</formula2>
    </dataValidation>
    <dataValidation allowBlank="true" errorStyle="stop" operator="between" showDropDown="false" showErrorMessage="true" showInputMessage="false" sqref="C5" type="list">
      <formula1>$T$1:$T$3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5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18.56"/>
    <col collapsed="false" customWidth="true" hidden="false" outlineLevel="0" max="3" min="3" style="1" width="20.56"/>
    <col collapsed="false" customWidth="true" hidden="false" outlineLevel="0" max="4" min="4" style="1" width="17.15"/>
    <col collapsed="false" customWidth="true" hidden="false" outlineLevel="0" max="5" min="5" style="1" width="12.85"/>
  </cols>
  <sheetData>
    <row r="1" customFormat="false" ht="42" hidden="false" customHeight="true" outlineLevel="0" collapsed="false">
      <c r="A1" s="114" t="s">
        <v>100</v>
      </c>
      <c r="B1" s="114"/>
      <c r="C1" s="114"/>
      <c r="D1" s="114"/>
      <c r="E1" s="114"/>
      <c r="F1" s="115"/>
      <c r="M1" s="1" t="n">
        <f aca="false">'BDD unique'!A14</f>
        <v>1</v>
      </c>
      <c r="N1" s="1" t="str">
        <f aca="false">'BDD unique'!B14</f>
        <v>Peugeot 406</v>
      </c>
      <c r="O1" s="1" t="str">
        <f aca="false">CONCATENATE(M1," : ",N1)</f>
        <v>1 : Peugeot 406</v>
      </c>
      <c r="Q1" s="1" t="n">
        <f aca="false">'BDD unique'!A8</f>
        <v>6</v>
      </c>
      <c r="R1" s="1" t="str">
        <f aca="false">'BDD unique'!B8</f>
        <v>Vaillant</v>
      </c>
      <c r="S1" s="1" t="str">
        <f aca="false">'BDD unique'!C8</f>
        <v>Paul</v>
      </c>
      <c r="T1" s="1" t="str">
        <f aca="false">CONCATENATE(Q1," : ",R1," ",S1)</f>
        <v>6 : Vaillant Paul</v>
      </c>
    </row>
    <row r="2" customFormat="false" ht="15.75" hidden="false" customHeight="true" outlineLevel="0" collapsed="false">
      <c r="M2" s="1" t="n">
        <f aca="false">'BDD unique'!A15</f>
        <v>2</v>
      </c>
      <c r="N2" s="1" t="str">
        <f aca="false">'BDD unique'!B15</f>
        <v>BMW série 3</v>
      </c>
      <c r="O2" s="1" t="str">
        <f aca="false">CONCATENATE(M2," : ",N2)</f>
        <v>2 : BMW série 3</v>
      </c>
      <c r="Q2" s="1" t="n">
        <f aca="false">'BDD unique'!A9</f>
        <v>7</v>
      </c>
      <c r="R2" s="1" t="str">
        <f aca="false">'BDD unique'!B9</f>
        <v>Faure</v>
      </c>
      <c r="S2" s="1" t="str">
        <f aca="false">'BDD unique'!C9</f>
        <v>Michel</v>
      </c>
      <c r="T2" s="1" t="str">
        <f aca="false">CONCATENATE(Q2," : ",R2," ",S2)</f>
        <v>7 : Faure Michel</v>
      </c>
    </row>
    <row r="3" customFormat="false" ht="15" hidden="false" customHeight="true" outlineLevel="0" collapsed="false">
      <c r="A3" s="116" t="s">
        <v>101</v>
      </c>
      <c r="B3" s="117"/>
      <c r="C3" s="118"/>
      <c r="M3" s="1" t="n">
        <f aca="false">'BDD unique'!A16</f>
        <v>3</v>
      </c>
      <c r="N3" s="1" t="str">
        <f aca="false">'BDD unique'!B16</f>
        <v>Renault mégane</v>
      </c>
      <c r="O3" s="1" t="str">
        <f aca="false">CONCATENATE(M3," : ",N3)</f>
        <v>3 : Renault mégane</v>
      </c>
      <c r="Q3" s="1" t="n">
        <f aca="false">'BDD unique'!A10</f>
        <v>8</v>
      </c>
      <c r="R3" s="1" t="str">
        <f aca="false">'BDD unique'!B10</f>
        <v>Huster</v>
      </c>
      <c r="S3" s="1" t="str">
        <f aca="false">'BDD unique'!C10</f>
        <v>Françis</v>
      </c>
      <c r="T3" s="1" t="str">
        <f aca="false">CONCATENATE(Q3," : ",R3," ",S3)</f>
        <v>8 : Huster Françis</v>
      </c>
    </row>
    <row r="4" customFormat="false" ht="15.75" hidden="false" customHeight="true" outlineLevel="0" collapsed="false">
      <c r="A4" s="119" t="s">
        <v>102</v>
      </c>
      <c r="B4" s="120"/>
      <c r="C4" s="121"/>
      <c r="M4" s="1" t="n">
        <f aca="false">'BDD unique'!A17</f>
        <v>4</v>
      </c>
      <c r="N4" s="1" t="str">
        <f aca="false">'BDD unique'!B17</f>
        <v>Renault clio</v>
      </c>
      <c r="O4" s="1" t="str">
        <f aca="false">CONCATENATE(M4," : ",N4)</f>
        <v>4 : Renault clio</v>
      </c>
    </row>
    <row r="6" customFormat="false" ht="3.75" hidden="false" customHeight="true" outlineLevel="0" collapsed="false"/>
    <row r="7" customFormat="false" ht="3.75" hidden="false" customHeight="true" outlineLevel="0" collapsed="false"/>
    <row r="8" customFormat="false" ht="3.75" hidden="false" customHeight="true" outlineLevel="0" collapsed="false"/>
    <row r="9" customFormat="false" ht="15" hidden="false" customHeight="true" outlineLevel="0" collapsed="false">
      <c r="A9" s="107" t="s">
        <v>103</v>
      </c>
    </row>
    <row r="10" customFormat="false" ht="15" hidden="false" customHeight="true" outlineLevel="0" collapsed="false">
      <c r="A10" s="122" t="s">
        <v>92</v>
      </c>
      <c r="B10" s="122" t="s">
        <v>104</v>
      </c>
      <c r="C10" s="122" t="s">
        <v>105</v>
      </c>
      <c r="D10" s="122" t="s">
        <v>106</v>
      </c>
      <c r="E10" s="122" t="s">
        <v>97</v>
      </c>
    </row>
    <row r="11" customFormat="false" ht="15" hidden="false" customHeight="true" outlineLevel="0" collapsed="false">
      <c r="A11" s="109" t="n">
        <v>42006</v>
      </c>
      <c r="B11" s="110" t="n">
        <v>1</v>
      </c>
      <c r="C11" s="110" t="n">
        <v>20</v>
      </c>
      <c r="D11" s="111" t="n">
        <f aca="false">VLOOKUP(B11,'BDD unique'!$A$14:$D$17,4,FALSE())</f>
        <v>19000</v>
      </c>
      <c r="E11" s="111" t="n">
        <f aca="false">D11*C11</f>
        <v>380000</v>
      </c>
    </row>
    <row r="12" customFormat="false" ht="15" hidden="false" customHeight="true" outlineLevel="0" collapsed="false">
      <c r="A12" s="109" t="n">
        <v>42009</v>
      </c>
      <c r="B12" s="110" t="n">
        <v>2</v>
      </c>
      <c r="C12" s="110" t="n">
        <v>20</v>
      </c>
      <c r="D12" s="111" t="n">
        <f aca="false">VLOOKUP(B12,'BDD unique'!$A$14:$D$17,4,FALSE())</f>
        <v>31000</v>
      </c>
      <c r="E12" s="111" t="n">
        <f aca="false">D12*C12</f>
        <v>620000</v>
      </c>
    </row>
    <row r="13" customFormat="false" ht="15" hidden="false" customHeight="true" outlineLevel="0" collapsed="false">
      <c r="A13" s="109" t="n">
        <v>42010</v>
      </c>
      <c r="B13" s="110" t="n">
        <v>3</v>
      </c>
      <c r="C13" s="110" t="n">
        <v>20</v>
      </c>
      <c r="D13" s="111" t="n">
        <f aca="false">VLOOKUP(B13,'BDD unique'!$A$14:$D$17,4,FALSE())</f>
        <v>12000</v>
      </c>
      <c r="E13" s="111" t="n">
        <f aca="false">D13*C13</f>
        <v>240000</v>
      </c>
    </row>
    <row r="14" customFormat="false" ht="15" hidden="false" customHeight="true" outlineLevel="0" collapsed="false">
      <c r="A14" s="109" t="n">
        <v>42010</v>
      </c>
      <c r="B14" s="110" t="n">
        <v>4</v>
      </c>
      <c r="C14" s="110" t="n">
        <v>20</v>
      </c>
      <c r="D14" s="111" t="n">
        <f aca="false">VLOOKUP(B14,'BDD unique'!$A$14:$D$17,4,FALSE())</f>
        <v>7000</v>
      </c>
      <c r="E14" s="111" t="n">
        <f aca="false">D14*C14</f>
        <v>140000</v>
      </c>
    </row>
    <row r="15" customFormat="false" ht="15" hidden="false" customHeight="true" outlineLevel="0" collapsed="false">
      <c r="A15" s="109" t="n">
        <v>42011</v>
      </c>
      <c r="B15" s="110" t="n">
        <v>1</v>
      </c>
      <c r="C15" s="110" t="n">
        <v>10</v>
      </c>
      <c r="D15" s="111" t="n">
        <f aca="false">VLOOKUP(B15,'BDD unique'!$A$14:$D$17,4,FALSE())</f>
        <v>19000</v>
      </c>
      <c r="E15" s="111" t="n">
        <f aca="false">D15*C15</f>
        <v>190000</v>
      </c>
    </row>
    <row r="16" customFormat="false" ht="15" hidden="false" customHeight="true" outlineLevel="0" collapsed="false">
      <c r="A16" s="109" t="n">
        <v>42020</v>
      </c>
      <c r="B16" s="110" t="n">
        <v>4</v>
      </c>
      <c r="C16" s="110" t="n">
        <v>13</v>
      </c>
      <c r="D16" s="111" t="n">
        <f aca="false">VLOOKUP(B16,'BDD unique'!$A$14:$D$17,4,FALSE())</f>
        <v>7000</v>
      </c>
      <c r="E16" s="111" t="n">
        <f aca="false">D16*C16</f>
        <v>91000</v>
      </c>
    </row>
    <row r="17" customFormat="false" ht="15" hidden="false" customHeight="true" outlineLevel="0" collapsed="false">
      <c r="A17" s="109"/>
      <c r="B17" s="110"/>
      <c r="C17" s="110"/>
      <c r="D17" s="111"/>
      <c r="E17" s="111"/>
    </row>
    <row r="20" customFormat="false" ht="15" hidden="false" customHeight="true" outlineLevel="0" collapsed="false">
      <c r="D20" s="1" t="s">
        <v>98</v>
      </c>
      <c r="E20" s="113" t="n">
        <f aca="false">AVERAGE(E11:E16)</f>
        <v>276833.333333333</v>
      </c>
    </row>
    <row r="21" customFormat="false" ht="15" hidden="false" customHeight="true" outlineLevel="0" collapsed="false">
      <c r="D21" s="1" t="s">
        <v>99</v>
      </c>
      <c r="E21" s="113" t="n">
        <f aca="false">SUM(E11:E16)</f>
        <v>1661000</v>
      </c>
    </row>
  </sheetData>
  <mergeCells count="1">
    <mergeCell ref="A1:E1"/>
  </mergeCells>
  <dataValidations count="2">
    <dataValidation allowBlank="true" errorStyle="stop" operator="greaterThan" showDropDown="false" showErrorMessage="true" showInputMessage="false" sqref="C4" type="whole">
      <formula1>0</formula1>
      <formula2>0</formula2>
    </dataValidation>
    <dataValidation allowBlank="true" errorStyle="stop" operator="between" showDropDown="false" showErrorMessage="true" showInputMessage="false" sqref="C3" type="list">
      <formula1>$O$1:$O$4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5" zeroHeight="false" outlineLevelRow="0" outlineLevelCol="0"/>
  <cols>
    <col collapsed="false" customWidth="true" hidden="false" outlineLevel="0" max="3" min="2" style="1" width="15.41"/>
    <col collapsed="false" customWidth="true" hidden="false" outlineLevel="0" max="7" min="7" style="1" width="13.41"/>
  </cols>
  <sheetData>
    <row r="1" customFormat="false" ht="42" hidden="false" customHeight="true" outlineLevel="0" collapsed="false">
      <c r="A1" s="123" t="s">
        <v>107</v>
      </c>
      <c r="B1" s="123"/>
      <c r="C1" s="123"/>
      <c r="D1" s="123"/>
      <c r="E1" s="123"/>
      <c r="F1" s="123"/>
      <c r="G1" s="123"/>
    </row>
    <row r="2" customFormat="false" ht="9.75" hidden="false" customHeight="true" outlineLevel="0" collapsed="false"/>
    <row r="3" customFormat="false" ht="6" hidden="false" customHeight="true" outlineLevel="0" collapsed="false"/>
    <row r="4" customFormat="false" ht="2.25" hidden="false" customHeight="true" outlineLevel="0" collapsed="false"/>
    <row r="6" customFormat="false" ht="30" hidden="false" customHeight="true" outlineLevel="0" collapsed="false">
      <c r="A6" s="124" t="s">
        <v>108</v>
      </c>
      <c r="B6" s="124" t="s">
        <v>109</v>
      </c>
      <c r="C6" s="125" t="s">
        <v>110</v>
      </c>
      <c r="D6" s="124" t="s">
        <v>111</v>
      </c>
      <c r="E6" s="124" t="s">
        <v>112</v>
      </c>
      <c r="F6" s="124" t="s">
        <v>113</v>
      </c>
      <c r="G6" s="124" t="s">
        <v>114</v>
      </c>
    </row>
    <row r="7" customFormat="false" ht="15" hidden="false" customHeight="true" outlineLevel="0" collapsed="false">
      <c r="A7" s="126" t="n">
        <f aca="false">'BDD unique'!A14</f>
        <v>1</v>
      </c>
      <c r="B7" s="126" t="str">
        <f aca="false">'BDD unique'!B14</f>
        <v>Peugeot 406</v>
      </c>
      <c r="C7" s="126" t="n">
        <f aca="false">'BDD unique'!D14</f>
        <v>19000</v>
      </c>
      <c r="D7" s="126" t="n">
        <f aca="false">SUMIF(Vente!B:B,A7,Vente!C:C)</f>
        <v>36</v>
      </c>
      <c r="E7" s="126" t="n">
        <f aca="false">SUMIF(Achat!B:B,A7,Achat!C:C)</f>
        <v>30</v>
      </c>
      <c r="F7" s="126" t="n">
        <f aca="false">E7-D7</f>
        <v>-6</v>
      </c>
      <c r="G7" s="127" t="n">
        <f aca="false">IF(F7&lt;0,0,F7*C7)</f>
        <v>0</v>
      </c>
    </row>
    <row r="8" customFormat="false" ht="15" hidden="false" customHeight="true" outlineLevel="0" collapsed="false">
      <c r="A8" s="110" t="n">
        <f aca="false">'BDD unique'!A15</f>
        <v>2</v>
      </c>
      <c r="B8" s="110" t="str">
        <f aca="false">'BDD unique'!B15</f>
        <v>BMW série 3</v>
      </c>
      <c r="C8" s="126" t="n">
        <f aca="false">'BDD unique'!D15</f>
        <v>31000</v>
      </c>
      <c r="D8" s="110" t="n">
        <f aca="false">SUMIF(Vente!B:B,A8,Vente!C:C)</f>
        <v>8</v>
      </c>
      <c r="E8" s="110" t="n">
        <f aca="false">SUMIF(Achat!B:B,A8,Achat!C:C)</f>
        <v>20</v>
      </c>
      <c r="F8" s="126" t="n">
        <f aca="false">E8-D8</f>
        <v>12</v>
      </c>
      <c r="G8" s="127" t="n">
        <f aca="false">IF(F8&lt;0,0,F8*C8)</f>
        <v>372000</v>
      </c>
    </row>
    <row r="9" customFormat="false" ht="15" hidden="false" customHeight="true" outlineLevel="0" collapsed="false">
      <c r="A9" s="110" t="n">
        <f aca="false">'BDD unique'!A16</f>
        <v>3</v>
      </c>
      <c r="B9" s="110" t="str">
        <f aca="false">'BDD unique'!B16</f>
        <v>Renault mégane</v>
      </c>
      <c r="C9" s="126" t="n">
        <f aca="false">'BDD unique'!D16</f>
        <v>12000</v>
      </c>
      <c r="D9" s="110" t="n">
        <f aca="false">SUMIF(Vente!B:B,A9,Vente!C:C)</f>
        <v>20</v>
      </c>
      <c r="E9" s="110" t="n">
        <f aca="false">SUMIF(Achat!B:B,A9,Achat!C:C)</f>
        <v>20</v>
      </c>
      <c r="F9" s="126" t="n">
        <f aca="false">E9-D9</f>
        <v>0</v>
      </c>
      <c r="G9" s="127" t="n">
        <f aca="false">IF(F9&lt;0,0,F9*C9)</f>
        <v>0</v>
      </c>
    </row>
    <row r="10" customFormat="false" ht="15" hidden="false" customHeight="true" outlineLevel="0" collapsed="false">
      <c r="A10" s="110" t="n">
        <f aca="false">'BDD unique'!A17</f>
        <v>4</v>
      </c>
      <c r="B10" s="110" t="str">
        <f aca="false">'BDD unique'!B17</f>
        <v>Renault clio</v>
      </c>
      <c r="C10" s="126" t="n">
        <f aca="false">'BDD unique'!D17</f>
        <v>7000</v>
      </c>
      <c r="D10" s="110" t="n">
        <f aca="false">SUMIF(Vente!B:B,A10,Vente!C:C)</f>
        <v>23</v>
      </c>
      <c r="E10" s="110" t="n">
        <f aca="false">SUMIF(Achat!B:B,A10,Achat!C:C)</f>
        <v>33</v>
      </c>
      <c r="F10" s="126" t="n">
        <f aca="false">E10-D10</f>
        <v>10</v>
      </c>
      <c r="G10" s="127" t="n">
        <f aca="false">IF(F10&lt;0,0,F10*C10)</f>
        <v>70000</v>
      </c>
    </row>
    <row r="14" customFormat="false" ht="15" hidden="false" customHeight="true" outlineLevel="0" collapsed="false">
      <c r="F14" s="1" t="s">
        <v>99</v>
      </c>
      <c r="G14" s="128" t="n">
        <f aca="false">SUM(G7:G13)</f>
        <v>442000</v>
      </c>
    </row>
  </sheetData>
  <mergeCells count="1">
    <mergeCell ref="A1:G1"/>
  </mergeCells>
  <conditionalFormatting sqref="F7:F10">
    <cfRule type="cellIs" priority="2" operator="between" aboveAverage="0" equalAverage="0" bottom="0" percent="0" rank="0" text="" dxfId="0">
      <formula>0</formula>
      <formula>5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0.96484375" defaultRowHeight="15" zeroHeight="false" outlineLevelRow="0" outlineLevelCol="0"/>
  <cols>
    <col collapsed="false" customWidth="true" hidden="false" outlineLevel="0" max="1" min="1" style="1" width="16.28"/>
    <col collapsed="false" customWidth="true" hidden="false" outlineLevel="0" max="3" min="2" style="1" width="12.85"/>
  </cols>
  <sheetData>
    <row r="1" customFormat="false" ht="38.25" hidden="false" customHeight="true" outlineLevel="0" collapsed="false">
      <c r="A1" s="123" t="s">
        <v>115</v>
      </c>
      <c r="B1" s="123"/>
      <c r="C1" s="123"/>
      <c r="D1" s="123"/>
      <c r="E1" s="123"/>
      <c r="F1" s="123"/>
      <c r="G1" s="123"/>
    </row>
    <row r="3" customFormat="false" ht="15" hidden="false" customHeight="true" outlineLevel="0" collapsed="false">
      <c r="A3" s="129" t="s">
        <v>116</v>
      </c>
    </row>
    <row r="5" customFormat="false" ht="15" hidden="false" customHeight="true" outlineLevel="0" collapsed="false">
      <c r="B5" s="130" t="s">
        <v>117</v>
      </c>
      <c r="C5" s="130" t="s">
        <v>118</v>
      </c>
    </row>
    <row r="6" customFormat="false" ht="15" hidden="false" customHeight="true" outlineLevel="0" collapsed="false">
      <c r="A6" s="130" t="s">
        <v>119</v>
      </c>
      <c r="B6" s="131" t="n">
        <f aca="false">SUM('BDD unique'!F3:F10)*12</f>
        <v>382800</v>
      </c>
      <c r="C6" s="131"/>
    </row>
    <row r="7" customFormat="false" ht="15" hidden="false" customHeight="true" outlineLevel="0" collapsed="false">
      <c r="A7" s="130" t="s">
        <v>120</v>
      </c>
      <c r="B7" s="131"/>
      <c r="C7" s="132" t="n">
        <f aca="false">Vente!F25</f>
        <v>1542000</v>
      </c>
    </row>
    <row r="8" customFormat="false" ht="15" hidden="false" customHeight="true" outlineLevel="0" collapsed="false">
      <c r="A8" s="130" t="s">
        <v>121</v>
      </c>
      <c r="B8" s="131" t="n">
        <f aca="false">Achat!E21</f>
        <v>1661000</v>
      </c>
      <c r="C8" s="131"/>
    </row>
    <row r="9" customFormat="false" ht="15" hidden="false" customHeight="true" outlineLevel="0" collapsed="false">
      <c r="A9" s="130" t="s">
        <v>114</v>
      </c>
      <c r="B9" s="131"/>
      <c r="C9" s="131" t="n">
        <f aca="false">Stock!G14</f>
        <v>442000</v>
      </c>
    </row>
    <row r="10" customFormat="false" ht="15.75" hidden="false" customHeight="true" outlineLevel="0" collapsed="false">
      <c r="A10" s="130" t="s">
        <v>122</v>
      </c>
      <c r="B10" s="133" t="n">
        <f aca="false">B8*5%</f>
        <v>83050</v>
      </c>
      <c r="C10" s="133"/>
    </row>
    <row r="11" customFormat="false" ht="15.75" hidden="false" customHeight="true" outlineLevel="0" collapsed="false">
      <c r="A11" s="130" t="s">
        <v>99</v>
      </c>
      <c r="B11" s="134" t="n">
        <f aca="false">SUM(B6:B10)</f>
        <v>2126850</v>
      </c>
      <c r="C11" s="135" t="n">
        <f aca="false">SUM(C6:C10)</f>
        <v>1984000</v>
      </c>
    </row>
    <row r="15" customFormat="false" ht="15" hidden="false" customHeight="true" outlineLevel="0" collapsed="false">
      <c r="A15" s="129" t="s">
        <v>123</v>
      </c>
      <c r="B15" s="136" t="n">
        <f aca="false">C11-B11</f>
        <v>-142850</v>
      </c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5" zeroHeight="false" outlineLevelRow="0" outlineLevelCol="0"/>
  <cols>
    <col collapsed="false" customWidth="true" hidden="false" outlineLevel="0" max="1" min="1" style="1" width="20.28"/>
    <col collapsed="false" customWidth="true" hidden="false" outlineLevel="0" max="2" min="2" style="1" width="15.85"/>
    <col collapsed="false" customWidth="true" hidden="false" outlineLevel="0" max="3" min="3" style="1" width="17.99"/>
    <col collapsed="false" customWidth="true" hidden="false" outlineLevel="0" max="4" min="4" style="1" width="19.14"/>
    <col collapsed="false" customWidth="true" hidden="false" outlineLevel="0" max="5" min="5" style="1" width="17.42"/>
    <col collapsed="false" customWidth="true" hidden="false" outlineLevel="0" max="17" min="17" style="1" width="1.99"/>
    <col collapsed="false" customWidth="true" hidden="false" outlineLevel="0" max="18" min="18" style="1" width="7.85"/>
    <col collapsed="false" customWidth="true" hidden="false" outlineLevel="0" max="19" min="19" style="1" width="7.16"/>
    <col collapsed="false" customWidth="true" hidden="false" outlineLevel="0" max="20" min="20" style="1" width="15.85"/>
  </cols>
  <sheetData>
    <row r="1" customFormat="false" ht="89.25" hidden="false" customHeight="true" outlineLevel="0" collapsed="false">
      <c r="A1" s="137" t="s">
        <v>124</v>
      </c>
      <c r="B1" s="137"/>
      <c r="C1" s="137"/>
      <c r="D1" s="137"/>
      <c r="E1" s="137"/>
      <c r="F1" s="137"/>
      <c r="G1" s="137"/>
      <c r="M1" s="1" t="n">
        <f aca="false">'BDD unique'!A14</f>
        <v>1</v>
      </c>
      <c r="N1" s="1" t="str">
        <f aca="false">'BDD unique'!B14</f>
        <v>Peugeot 406</v>
      </c>
      <c r="O1" s="1" t="str">
        <f aca="false">CONCATENATE(M1," : ",N1)</f>
        <v>1 : Peugeot 406</v>
      </c>
      <c r="Q1" s="1" t="n">
        <f aca="false">'BDD unique'!A8</f>
        <v>6</v>
      </c>
      <c r="R1" s="1" t="str">
        <f aca="false">'BDD unique'!B8</f>
        <v>Vaillant</v>
      </c>
      <c r="S1" s="1" t="str">
        <f aca="false">'BDD unique'!C8</f>
        <v>Paul</v>
      </c>
      <c r="T1" s="1" t="str">
        <f aca="false">CONCATENATE(Q1," : ",R1," ",S1)</f>
        <v>6 : Vaillant Paul</v>
      </c>
    </row>
    <row r="2" customFormat="false" ht="15" hidden="false" customHeight="true" outlineLevel="0" collapsed="false">
      <c r="A2" s="138"/>
      <c r="B2" s="138"/>
      <c r="C2" s="138"/>
      <c r="D2" s="138"/>
      <c r="E2" s="138"/>
      <c r="F2" s="138"/>
      <c r="M2" s="1" t="n">
        <f aca="false">'BDD unique'!A15</f>
        <v>2</v>
      </c>
      <c r="N2" s="1" t="str">
        <f aca="false">'BDD unique'!B15</f>
        <v>BMW série 3</v>
      </c>
      <c r="O2" s="1" t="str">
        <f aca="false">CONCATENATE(M2," : ",N2)</f>
        <v>2 : BMW série 3</v>
      </c>
      <c r="Q2" s="1" t="n">
        <f aca="false">'BDD unique'!A9</f>
        <v>7</v>
      </c>
      <c r="R2" s="1" t="str">
        <f aca="false">'BDD unique'!B9</f>
        <v>Faure</v>
      </c>
      <c r="S2" s="1" t="str">
        <f aca="false">'BDD unique'!C9</f>
        <v>Michel</v>
      </c>
      <c r="T2" s="1" t="str">
        <f aca="false">CONCATENATE(Q2," : ",R2," ",S2)</f>
        <v>7 : Faure Michel</v>
      </c>
    </row>
    <row r="3" customFormat="false" ht="15" hidden="false" customHeight="true" outlineLevel="0" collapsed="false">
      <c r="A3" s="139" t="s">
        <v>125</v>
      </c>
      <c r="B3" s="139"/>
      <c r="C3" s="139"/>
      <c r="D3" s="139"/>
      <c r="E3" s="139"/>
      <c r="F3" s="139"/>
      <c r="G3" s="139"/>
      <c r="M3" s="1" t="n">
        <f aca="false">'BDD unique'!A16</f>
        <v>3</v>
      </c>
      <c r="N3" s="1" t="str">
        <f aca="false">'BDD unique'!B16</f>
        <v>Renault mégane</v>
      </c>
      <c r="O3" s="1" t="str">
        <f aca="false">CONCATENATE(M3," : ",N3)</f>
        <v>3 : Renault mégane</v>
      </c>
      <c r="Q3" s="1" t="n">
        <f aca="false">'BDD unique'!A10</f>
        <v>8</v>
      </c>
      <c r="R3" s="1" t="str">
        <f aca="false">'BDD unique'!B10</f>
        <v>Huster</v>
      </c>
      <c r="S3" s="1" t="str">
        <f aca="false">'BDD unique'!C10</f>
        <v>Françis</v>
      </c>
      <c r="T3" s="1" t="str">
        <f aca="false">CONCATENATE(Q3," : ",R3," ",S3)</f>
        <v>8 : Huster Françis</v>
      </c>
    </row>
    <row r="4" customFormat="false" ht="15" hidden="false" customHeight="true" outlineLevel="0" collapsed="false">
      <c r="M4" s="1" t="n">
        <f aca="false">'BDD unique'!A17</f>
        <v>4</v>
      </c>
      <c r="N4" s="1" t="str">
        <f aca="false">'BDD unique'!B17</f>
        <v>Renault clio</v>
      </c>
      <c r="O4" s="1" t="str">
        <f aca="false">CONCATENATE(M4," : ",N4)</f>
        <v>4 : Renault clio</v>
      </c>
    </row>
    <row r="5" customFormat="false" ht="15" hidden="false" customHeight="true" outlineLevel="0" collapsed="false">
      <c r="C5" s="140" t="s">
        <v>126</v>
      </c>
      <c r="D5" s="140" t="s">
        <v>127</v>
      </c>
    </row>
    <row r="6" customFormat="false" ht="15" hidden="false" customHeight="true" outlineLevel="0" collapsed="false">
      <c r="C6" s="110" t="str">
        <f aca="false">T1</f>
        <v>6 : Vaillant Paul</v>
      </c>
      <c r="D6" s="110" t="n">
        <f aca="false">SUMIF(Vente!D:D,Décisionnel!Q1,Vente!C:C)</f>
        <v>46</v>
      </c>
    </row>
    <row r="7" customFormat="false" ht="15" hidden="false" customHeight="true" outlineLevel="0" collapsed="false">
      <c r="C7" s="110" t="str">
        <f aca="false">T2</f>
        <v>7 : Faure Michel</v>
      </c>
      <c r="D7" s="110" t="n">
        <f aca="false">SUMIF(Vente!D:D,Décisionnel!Q2,Vente!C:C)</f>
        <v>16</v>
      </c>
    </row>
    <row r="8" customFormat="false" ht="15" hidden="false" customHeight="true" outlineLevel="0" collapsed="false">
      <c r="C8" s="110" t="str">
        <f aca="false">T3</f>
        <v>8 : Huster Françis</v>
      </c>
      <c r="D8" s="110" t="n">
        <f aca="false">SUMIF(Vente!D:D,Décisionnel!Q3,Vente!C:C)</f>
        <v>25</v>
      </c>
    </row>
    <row r="26" customFormat="false" ht="15" hidden="false" customHeight="true" outlineLevel="0" collapsed="false">
      <c r="A26" s="139" t="s">
        <v>128</v>
      </c>
      <c r="B26" s="139"/>
      <c r="C26" s="139"/>
      <c r="D26" s="139"/>
      <c r="E26" s="139"/>
      <c r="F26" s="139"/>
      <c r="G26" s="139"/>
    </row>
    <row r="28" customFormat="false" ht="15" hidden="false" customHeight="true" outlineLevel="0" collapsed="false">
      <c r="C28" s="140" t="s">
        <v>129</v>
      </c>
      <c r="D28" s="140" t="s">
        <v>127</v>
      </c>
    </row>
    <row r="29" customFormat="false" ht="15" hidden="false" customHeight="true" outlineLevel="0" collapsed="false">
      <c r="C29" s="110" t="str">
        <f aca="false">O1</f>
        <v>1 : Peugeot 406</v>
      </c>
      <c r="D29" s="110" t="n">
        <f aca="false">SUMIF(Vente!B:B,Décisionnel!M1,Vente!C:C)</f>
        <v>36</v>
      </c>
    </row>
    <row r="30" customFormat="false" ht="15" hidden="false" customHeight="true" outlineLevel="0" collapsed="false">
      <c r="C30" s="110" t="str">
        <f aca="false">O2</f>
        <v>2 : BMW série 3</v>
      </c>
      <c r="D30" s="110" t="n">
        <f aca="false">SUMIF(Vente!B:B,Décisionnel!M2,Vente!C:C)</f>
        <v>8</v>
      </c>
    </row>
    <row r="31" customFormat="false" ht="15" hidden="false" customHeight="true" outlineLevel="0" collapsed="false">
      <c r="C31" s="110" t="str">
        <f aca="false">O3</f>
        <v>3 : Renault mégane</v>
      </c>
      <c r="D31" s="110" t="n">
        <f aca="false">SUMIF(Vente!B:B,Décisionnel!M3,Vente!C:C)</f>
        <v>20</v>
      </c>
    </row>
    <row r="32" customFormat="false" ht="15" hidden="false" customHeight="true" outlineLevel="0" collapsed="false">
      <c r="C32" s="110" t="str">
        <f aca="false">O4</f>
        <v>4 : Renault clio</v>
      </c>
      <c r="D32" s="110" t="n">
        <f aca="false">SUMIF(Vente!B:B,Décisionnel!M4,Vente!C:C)</f>
        <v>23</v>
      </c>
    </row>
    <row r="50" customFormat="false" ht="15" hidden="false" customHeight="true" outlineLevel="0" collapsed="false">
      <c r="A50" s="139" t="s">
        <v>130</v>
      </c>
      <c r="B50" s="139"/>
      <c r="C50" s="139"/>
      <c r="D50" s="139"/>
      <c r="E50" s="139"/>
      <c r="F50" s="139"/>
      <c r="G50" s="139"/>
    </row>
    <row r="52" customFormat="false" ht="30" hidden="false" customHeight="true" outlineLevel="0" collapsed="false">
      <c r="A52" s="140" t="s">
        <v>129</v>
      </c>
      <c r="B52" s="140" t="s">
        <v>131</v>
      </c>
      <c r="C52" s="140" t="s">
        <v>132</v>
      </c>
      <c r="D52" s="141" t="s">
        <v>133</v>
      </c>
      <c r="E52" s="141" t="s">
        <v>134</v>
      </c>
      <c r="F52" s="141" t="s">
        <v>135</v>
      </c>
    </row>
    <row r="53" customFormat="false" ht="15" hidden="false" customHeight="true" outlineLevel="0" collapsed="false">
      <c r="A53" s="110" t="str">
        <f aca="false">O1</f>
        <v>1 : Peugeot 406</v>
      </c>
      <c r="B53" s="142" t="n">
        <f aca="false">'BDD unique'!D14</f>
        <v>19000</v>
      </c>
      <c r="C53" s="142" t="n">
        <f aca="false">'BDD unique'!C14</f>
        <v>21000</v>
      </c>
      <c r="D53" s="142" t="n">
        <f aca="false">C53-B53</f>
        <v>2000</v>
      </c>
      <c r="E53" s="143" t="n">
        <f aca="false">D29</f>
        <v>36</v>
      </c>
      <c r="F53" s="142" t="n">
        <f aca="false">D53*E53</f>
        <v>72000</v>
      </c>
    </row>
    <row r="54" customFormat="false" ht="15" hidden="false" customHeight="true" outlineLevel="0" collapsed="false">
      <c r="A54" s="110" t="str">
        <f aca="false">O2</f>
        <v>2 : BMW série 3</v>
      </c>
      <c r="B54" s="142" t="n">
        <f aca="false">'BDD unique'!D15</f>
        <v>31000</v>
      </c>
      <c r="C54" s="142" t="n">
        <f aca="false">'BDD unique'!C15</f>
        <v>32000</v>
      </c>
      <c r="D54" s="142" t="n">
        <f aca="false">C54-B54</f>
        <v>1000</v>
      </c>
      <c r="E54" s="143" t="n">
        <f aca="false">D30</f>
        <v>8</v>
      </c>
      <c r="F54" s="142" t="n">
        <f aca="false">D54*E54</f>
        <v>8000</v>
      </c>
    </row>
    <row r="55" customFormat="false" ht="15" hidden="false" customHeight="true" outlineLevel="0" collapsed="false">
      <c r="A55" s="110" t="str">
        <f aca="false">O3</f>
        <v>3 : Renault mégane</v>
      </c>
      <c r="B55" s="142" t="n">
        <f aca="false">'BDD unique'!D16</f>
        <v>12000</v>
      </c>
      <c r="C55" s="142" t="n">
        <f aca="false">'BDD unique'!C16</f>
        <v>15000</v>
      </c>
      <c r="D55" s="142" t="n">
        <f aca="false">C55-B55</f>
        <v>3000</v>
      </c>
      <c r="E55" s="143" t="n">
        <f aca="false">D31</f>
        <v>20</v>
      </c>
      <c r="F55" s="142" t="n">
        <f aca="false">D55*E55</f>
        <v>60000</v>
      </c>
    </row>
    <row r="56" customFormat="false" ht="15" hidden="false" customHeight="true" outlineLevel="0" collapsed="false">
      <c r="A56" s="110" t="str">
        <f aca="false">O4</f>
        <v>4 : Renault clio</v>
      </c>
      <c r="B56" s="142" t="n">
        <f aca="false">'BDD unique'!D17</f>
        <v>7000</v>
      </c>
      <c r="C56" s="142" t="n">
        <f aca="false">'BDD unique'!C17</f>
        <v>10000</v>
      </c>
      <c r="D56" s="142" t="n">
        <f aca="false">C56-B56</f>
        <v>3000</v>
      </c>
      <c r="E56" s="143" t="n">
        <f aca="false">D32</f>
        <v>23</v>
      </c>
      <c r="F56" s="142" t="n">
        <f aca="false">D56*E56</f>
        <v>69000</v>
      </c>
    </row>
  </sheetData>
  <mergeCells count="5">
    <mergeCell ref="A1:G1"/>
    <mergeCell ref="A2:F2"/>
    <mergeCell ref="A3:G3"/>
    <mergeCell ref="A26:G26"/>
    <mergeCell ref="A50:G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2015-09-22T16:55:53Z</dcterms:created>
  <dc:creator>Benjamin</dc:creator>
  <dc:description/>
  <dc:language>en-US</dc:language>
  <cp:lastModifiedBy/>
  <dcterms:modified xsi:type="dcterms:W3CDTF">2026-09-10T15:15:05Z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