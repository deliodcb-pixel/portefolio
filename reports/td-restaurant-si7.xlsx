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  <sheet name="bilan 2016" sheetId="2" state="visible" r:id="rId4"/>
    <sheet name="répon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<sst xmlns="http://schemas.openxmlformats.org/spreadsheetml/2006/main" count="87" uniqueCount="66">
  <si>
    <t xml:space="preserve">Tableau des charges fixes</t>
  </si>
  <si>
    <t xml:space="preserve">par mois</t>
  </si>
  <si>
    <t xml:space="preserve">par an</t>
  </si>
  <si>
    <t xml:space="preserve">loyer</t>
  </si>
  <si>
    <t xml:space="preserve">cuisine</t>
  </si>
  <si>
    <t xml:space="preserve">factures edf eau</t>
  </si>
  <si>
    <t xml:space="preserve">entretien</t>
  </si>
  <si>
    <t xml:space="preserve">publicité</t>
  </si>
  <si>
    <t xml:space="preserve">prime assurance</t>
  </si>
  <si>
    <t xml:space="preserve">emprunt bancaire</t>
  </si>
  <si>
    <t xml:space="preserve">personnel</t>
  </si>
  <si>
    <t xml:space="preserve">TOTAL</t>
  </si>
  <si>
    <t xml:space="preserve">Tableau du prix des ventes</t>
  </si>
  <si>
    <t xml:space="preserve">prix/vente</t>
  </si>
  <si>
    <t xml:space="preserve">menu 1</t>
  </si>
  <si>
    <t xml:space="preserve">menu 2</t>
  </si>
  <si>
    <t xml:space="preserve">menu 3</t>
  </si>
  <si>
    <t xml:space="preserve">soft</t>
  </si>
  <si>
    <t xml:space="preserve">alcool</t>
  </si>
  <si>
    <t xml:space="preserve">Tableau des matières premières</t>
  </si>
  <si>
    <t xml:space="preserve">coût/vente</t>
  </si>
  <si>
    <t xml:space="preserve">taxe menu</t>
  </si>
  <si>
    <t xml:space="preserve">taxe boisson</t>
  </si>
  <si>
    <t xml:space="preserve">Tableau répartition des ventes</t>
  </si>
  <si>
    <t xml:space="preserve">Jan</t>
  </si>
  <si>
    <t xml:space="preserve">Fév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</si>
  <si>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</si>
  <si>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</si>
  <si>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</si>
  <si>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</si>
  <si>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</si>
  <si>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</si>
  <si>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</si>
  <si>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</si>
  <si>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</si>
  <si>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</si>
  <si>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Menu 1</t>
  </si>
  <si>
    <t xml:space="preserve">Menu 2</t>
  </si>
  <si>
    <t xml:space="preserve">Menu 3</t>
  </si>
  <si>
    <t xml:space="preserve">Soft</t>
  </si>
  <si>
    <t xml:space="preserve">CA menu 1</t>
  </si>
  <si>
    <t xml:space="preserve">CA menu 2</t>
  </si>
  <si>
    <t xml:space="preserve">CA menu 3</t>
  </si>
  <si>
    <t xml:space="preserve">CA soft</t>
  </si>
  <si>
    <t xml:space="preserve">CA alcool</t>
  </si>
  <si>
    <t xml:space="preserve">TOTAL CA</t>
  </si>
  <si>
    <t xml:space="preserve">Charge fixe</t>
  </si>
  <si>
    <t xml:space="preserve">matière 1ère menu 1</t>
  </si>
  <si>
    <t xml:space="preserve">matière 1ère menu 2</t>
  </si>
  <si>
    <t xml:space="preserve">matière 1ère menu 3</t>
  </si>
  <si>
    <t xml:space="preserve">matière 1ère soft</t>
  </si>
  <si>
    <t xml:space="preserve">matière 1ère alcool</t>
  </si>
  <si>
    <t xml:space="preserve">charge variable</t>
  </si>
  <si>
    <t xml:space="preserve">total coûts</t>
  </si>
  <si>
    <t xml:space="preserve">Résultat</t>
  </si>
  <si>
    <t xml:space="preserve">Réponses aux questions</t>
  </si>
  <si>
    <t xml:space="preserve">Q5 - Résultat 2016</t>
  </si>
  <si>
    <t xml:space="preserve">Q6 - Nouveau taux taxes (menus et boissons)</t>
  </si>
  <si>
    <t xml:space="preserve">Taxes avant (menus + boissons)</t>
  </si>
  <si>
    <t xml:space="preserve">Taxes après</t>
  </si>
  <si>
    <t xml:space="preserve">Q7 - Nouveau résultat</t>
  </si>
  <si>
    <t xml:space="preserve">Q8 - Solution : augmenter le prix de chaque menu de</t>
  </si>
  <si>
    <t xml:space="preserve">Nombre de menus vendus en 2016</t>
  </si>
  <si>
    <t xml:space="preserve">Gain (hausse - taxe 5 % sur la hausse)</t>
  </si>
  <si>
    <t xml:space="preserve">Résultat avec la solution</t>
  </si>
  <si>
    <t xml:space="preserve">Q8 : une hausse de 2 € par menu (prix raisonnable) suffit à rendre le résultat positif. On peut aussi baisser le coût des matières premières ou renégocier le loyer.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</si>
</sst>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7C8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Résultat mensuel 2016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0000"/>
            </a:solidFill>
            <a:ln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'bilan 2016'!$B$1:$M$1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'bilan 2016'!$B$18:$M$18</c:f>
              <c:numCache>
                <c:formatCode>#,##0.00" €"</c:formatCode>
                <c:ptCount val="12"/>
                <c:pt idx="0">
                  <c:v>-2100.66666666667</c:v>
                </c:pt>
                <c:pt idx="1">
                  <c:v>-1427.66666666667</c:v>
                </c:pt>
                <c:pt idx="2">
                  <c:v>299.333333333332</c:v>
                </c:pt>
                <c:pt idx="3">
                  <c:v>-1353.66666666667</c:v>
                </c:pt>
                <c:pt idx="4">
                  <c:v>-234.666666666668</c:v>
                </c:pt>
                <c:pt idx="5">
                  <c:v>439.333333333332</c:v>
                </c:pt>
                <c:pt idx="6">
                  <c:v>-1327.66666666667</c:v>
                </c:pt>
                <c:pt idx="7">
                  <c:v>-715.666666666668</c:v>
                </c:pt>
                <c:pt idx="8">
                  <c:v>-2289.66666666667</c:v>
                </c:pt>
                <c:pt idx="9">
                  <c:v>-1786.66666666667</c:v>
                </c:pt>
                <c:pt idx="10">
                  <c:v>249.333333333332</c:v>
                </c:pt>
                <c:pt idx="11">
                  <c:v>-1680.66666666667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052702"/>
        <c:axId val="39501898"/>
      </c:lineChart>
      <c:catAx>
        <c:axId val="860527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01898"/>
        <c:crosses val="autoZero"/>
        <c:auto val="1"/>
        <c:lblAlgn val="ctr"/>
        <c:lblOffset val="100"/>
        <c:noMultiLvlLbl val="0"/>
      </c:catAx>
      <c:valAx>
        <c:axId val="395018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52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8</xdr:col>
      <xdr:colOff>448200</xdr:colOff>
      <xdr:row>37</xdr:row>
      <xdr:rowOff>1080</xdr:rowOff>
    </xdr:to>
    <xdr:graphicFrame>
      <xdr:nvGraphicFramePr>
        <xdr:cNvPr id="0" name="Chart 1"/>
        <xdr:cNvGraphicFramePr/>
      </xdr:nvGraphicFramePr>
      <xdr:xfrm>
        <a:off x="0" y="3809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2" t="s">
        <v>2</v>
      </c>
    </row>
    <row r="4" customFormat="false" ht="15" hidden="false" customHeight="false" outlineLevel="0" collapsed="false">
      <c r="A4" s="2" t="s">
        <v>3</v>
      </c>
      <c r="B4" s="3" t="n">
        <v>1000</v>
      </c>
      <c r="C4" s="3" t="n">
        <f aca="false">B4*12</f>
        <v>12000</v>
      </c>
    </row>
    <row r="5" customFormat="false" ht="15" hidden="false" customHeight="false" outlineLevel="0" collapsed="false">
      <c r="A5" s="2" t="s">
        <v>4</v>
      </c>
      <c r="B5" s="3" t="n">
        <f aca="false">C5/12</f>
        <v>250</v>
      </c>
      <c r="C5" s="3" t="n">
        <v>3000</v>
      </c>
    </row>
    <row r="6" customFormat="false" ht="15" hidden="false" customHeight="false" outlineLevel="0" collapsed="false">
      <c r="A6" s="2" t="s">
        <v>5</v>
      </c>
      <c r="B6" s="3" t="n">
        <v>200</v>
      </c>
      <c r="C6" s="3" t="n">
        <f aca="false">B6*12</f>
        <v>2400</v>
      </c>
    </row>
    <row r="7" customFormat="false" ht="15" hidden="false" customHeight="false" outlineLevel="0" collapsed="false">
      <c r="A7" s="2" t="s">
        <v>6</v>
      </c>
      <c r="B7" s="3" t="n">
        <v>100</v>
      </c>
      <c r="C7" s="3" t="n">
        <f aca="false">B7*12</f>
        <v>1200</v>
      </c>
    </row>
    <row r="8" customFormat="false" ht="15" hidden="false" customHeight="false" outlineLevel="0" collapsed="false">
      <c r="A8" s="2" t="s">
        <v>7</v>
      </c>
      <c r="B8" s="3" t="n">
        <f aca="false">C8/12</f>
        <v>66.6666666666667</v>
      </c>
      <c r="C8" s="3" t="n">
        <v>800</v>
      </c>
    </row>
    <row r="9" customFormat="false" ht="15" hidden="false" customHeight="false" outlineLevel="0" collapsed="false">
      <c r="A9" s="2" t="s">
        <v>8</v>
      </c>
      <c r="B9" s="3" t="n">
        <f aca="false">C9/12</f>
        <v>100</v>
      </c>
      <c r="C9" s="3" t="n">
        <v>1200</v>
      </c>
    </row>
    <row r="10" customFormat="false" ht="15" hidden="false" customHeight="false" outlineLevel="0" collapsed="false">
      <c r="A10" s="2" t="s">
        <v>9</v>
      </c>
      <c r="B10" s="3" t="n">
        <v>250</v>
      </c>
      <c r="C10" s="3" t="n">
        <f aca="false">B10*12</f>
        <v>3000</v>
      </c>
    </row>
    <row r="11" customFormat="false" ht="15" hidden="false" customHeight="false" outlineLevel="0" collapsed="false">
      <c r="A11" s="2" t="s">
        <v>10</v>
      </c>
      <c r="B11" s="3" t="n">
        <f aca="false">1365*2</f>
        <v>2730</v>
      </c>
      <c r="C11" s="3" t="n">
        <f aca="false">B11*12</f>
        <v>32760</v>
      </c>
    </row>
    <row r="12" customFormat="false" ht="15" hidden="false" customHeight="false" outlineLevel="0" collapsed="false">
      <c r="A12" s="2" t="s">
        <v>11</v>
      </c>
      <c r="B12" s="4" t="n">
        <f aca="false">SUM(B4:B11)</f>
        <v>4696.66666666667</v>
      </c>
      <c r="C12" s="4" t="n">
        <f aca="false">SUM(C4:C11)</f>
        <v>56360</v>
      </c>
    </row>
    <row r="14" customFormat="false" ht="15" hidden="false" customHeight="false" outlineLevel="0" collapsed="false">
      <c r="A14" s="1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A17" s="2" t="s">
        <v>14</v>
      </c>
      <c r="B17" s="3" t="n">
        <v>15</v>
      </c>
    </row>
    <row r="18" customFormat="false" ht="15" hidden="false" customHeight="false" outlineLevel="0" collapsed="false">
      <c r="A18" s="2" t="s">
        <v>15</v>
      </c>
      <c r="B18" s="3" t="n">
        <v>25</v>
      </c>
    </row>
    <row r="19" customFormat="false" ht="15" hidden="false" customHeight="false" outlineLevel="0" collapsed="false">
      <c r="A19" s="2" t="s">
        <v>16</v>
      </c>
      <c r="B19" s="3" t="n">
        <v>35</v>
      </c>
    </row>
    <row r="20" customFormat="false" ht="15" hidden="false" customHeight="false" outlineLevel="0" collapsed="false">
      <c r="A20" s="2" t="s">
        <v>17</v>
      </c>
      <c r="B20" s="3" t="n">
        <v>3</v>
      </c>
    </row>
    <row r="21" customFormat="false" ht="15" hidden="false" customHeight="false" outlineLevel="0" collapsed="false">
      <c r="A21" s="2" t="s">
        <v>18</v>
      </c>
      <c r="B21" s="3" t="n">
        <v>6</v>
      </c>
    </row>
    <row r="23" customFormat="false" ht="15" hidden="false" customHeight="false" outlineLevel="0" collapsed="false">
      <c r="A23" s="1" t="s">
        <v>19</v>
      </c>
    </row>
    <row r="25" customFormat="false" ht="15" hidden="false" customHeight="false" outlineLevel="0" collapsed="false">
      <c r="B25" s="2" t="s">
        <v>20</v>
      </c>
    </row>
    <row r="26" customFormat="false" ht="15" hidden="false" customHeight="false" outlineLevel="0" collapsed="false">
      <c r="A26" s="2" t="s">
        <v>14</v>
      </c>
      <c r="B26" s="3" t="n">
        <v>10</v>
      </c>
    </row>
    <row r="27" customFormat="false" ht="15" hidden="false" customHeight="false" outlineLevel="0" collapsed="false">
      <c r="A27" s="2" t="s">
        <v>15</v>
      </c>
      <c r="B27" s="3" t="n">
        <v>15</v>
      </c>
    </row>
    <row r="28" customFormat="false" ht="15" hidden="false" customHeight="false" outlineLevel="0" collapsed="false">
      <c r="A28" s="2" t="s">
        <v>16</v>
      </c>
      <c r="B28" s="3" t="n">
        <v>20</v>
      </c>
    </row>
    <row r="29" customFormat="false" ht="15" hidden="false" customHeight="false" outlineLevel="0" collapsed="false">
      <c r="A29" s="2" t="s">
        <v>17</v>
      </c>
      <c r="B29" s="3" t="n">
        <v>1</v>
      </c>
    </row>
    <row r="30" customFormat="false" ht="15" hidden="false" customHeight="false" outlineLevel="0" collapsed="false">
      <c r="A30" s="2" t="s">
        <v>18</v>
      </c>
      <c r="B30" s="3" t="n">
        <v>2</v>
      </c>
    </row>
    <row r="32" customFormat="false" ht="15" hidden="false" customHeight="false" outlineLevel="0" collapsed="false">
      <c r="A32" s="2" t="s">
        <v>21</v>
      </c>
      <c r="B32" s="5" t="n">
        <v>0.1</v>
      </c>
    </row>
    <row r="33" customFormat="false" ht="15" hidden="false" customHeight="false" outlineLevel="0" collapsed="false">
      <c r="A33" s="2" t="s">
        <v>22</v>
      </c>
      <c r="B33" s="5" t="n">
        <v>0.2</v>
      </c>
    </row>
    <row r="37" customFormat="false" ht="15" hidden="false" customHeight="false" outlineLevel="0" collapsed="false">
      <c r="A37" s="1" t="s">
        <v>23</v>
      </c>
    </row>
    <row r="38" customFormat="false" ht="15" hidden="false" customHeight="false" outlineLevel="0" collapsed="false">
      <c r="B38" s="2" t="s">
        <v>24</v>
      </c>
      <c r="C38" s="2" t="s">
        <v>25</v>
      </c>
      <c r="D38" s="2" t="s">
        <v>26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2" t="s">
        <v>32</v>
      </c>
      <c r="K38" s="2" t="s">
        <v>33</v>
      </c>
      <c r="L38" s="2" t="s">
        <v>34</v>
      </c>
      <c r="M38" s="2" t="s">
        <v>35</v>
      </c>
    </row>
    <row r="39" customFormat="false" ht="15" hidden="false" customHeight="false" outlineLevel="0" collapsed="false">
      <c r="A39" s="2" t="s">
        <v>36</v>
      </c>
      <c r="B39" s="6" t="n">
        <v>130</v>
      </c>
      <c r="C39" s="6" t="n">
        <v>70</v>
      </c>
      <c r="D39" s="6" t="n">
        <v>250</v>
      </c>
      <c r="E39" s="6" t="n">
        <v>220</v>
      </c>
      <c r="F39" s="6" t="n">
        <v>70</v>
      </c>
      <c r="G39" s="6" t="n">
        <v>150</v>
      </c>
      <c r="H39" s="6" t="n">
        <v>100</v>
      </c>
      <c r="I39" s="6" t="n">
        <v>240</v>
      </c>
      <c r="J39" s="6" t="n">
        <v>60</v>
      </c>
      <c r="K39" s="6" t="n">
        <v>70</v>
      </c>
      <c r="L39" s="6" t="n">
        <v>100</v>
      </c>
      <c r="M39" s="6" t="n">
        <v>130</v>
      </c>
    </row>
    <row r="40" customFormat="false" ht="15" hidden="false" customHeight="false" outlineLevel="0" collapsed="false">
      <c r="A40" s="2" t="s">
        <v>37</v>
      </c>
      <c r="B40" s="6" t="n">
        <v>90</v>
      </c>
      <c r="C40" s="6" t="n">
        <v>90</v>
      </c>
      <c r="D40" s="6" t="n">
        <v>210</v>
      </c>
      <c r="E40" s="6" t="n">
        <v>80</v>
      </c>
      <c r="F40" s="6" t="n">
        <v>160</v>
      </c>
      <c r="G40" s="6" t="n">
        <v>140</v>
      </c>
      <c r="H40" s="6" t="n">
        <v>200</v>
      </c>
      <c r="I40" s="6" t="n">
        <v>150</v>
      </c>
      <c r="J40" s="6" t="n">
        <v>90</v>
      </c>
      <c r="K40" s="6" t="n">
        <v>170</v>
      </c>
      <c r="L40" s="6" t="n">
        <v>230</v>
      </c>
      <c r="M40" s="6" t="n">
        <v>60</v>
      </c>
    </row>
    <row r="41" customFormat="false" ht="15" hidden="false" customHeight="false" outlineLevel="0" collapsed="false">
      <c r="A41" s="2" t="s">
        <v>38</v>
      </c>
      <c r="B41" s="6" t="n">
        <v>80</v>
      </c>
      <c r="C41" s="6" t="n">
        <v>130</v>
      </c>
      <c r="D41" s="6" t="n">
        <v>180</v>
      </c>
      <c r="E41" s="6" t="n">
        <v>90</v>
      </c>
      <c r="F41" s="6" t="n">
        <v>210</v>
      </c>
      <c r="G41" s="6" t="n">
        <v>250</v>
      </c>
      <c r="H41" s="6" t="n">
        <v>70</v>
      </c>
      <c r="I41" s="6" t="n">
        <v>140</v>
      </c>
      <c r="J41" s="6" t="n">
        <v>80</v>
      </c>
      <c r="K41" s="6" t="n">
        <v>60</v>
      </c>
      <c r="L41" s="6" t="n">
        <v>190</v>
      </c>
      <c r="M41" s="6" t="n">
        <v>130</v>
      </c>
    </row>
    <row r="42" customFormat="false" ht="15" hidden="false" customHeight="false" outlineLevel="0" collapsed="false">
      <c r="A42" s="2" t="s">
        <v>39</v>
      </c>
      <c r="B42" s="6" t="n">
        <v>130</v>
      </c>
      <c r="C42" s="6" t="n">
        <v>250</v>
      </c>
      <c r="D42" s="6" t="n">
        <v>60</v>
      </c>
      <c r="E42" s="6" t="n">
        <v>190</v>
      </c>
      <c r="F42" s="6" t="n">
        <v>250</v>
      </c>
      <c r="G42" s="6" t="n">
        <v>130</v>
      </c>
      <c r="H42" s="6" t="n">
        <v>170</v>
      </c>
      <c r="I42" s="6" t="n">
        <v>110</v>
      </c>
      <c r="J42" s="6" t="n">
        <v>150</v>
      </c>
      <c r="K42" s="6" t="n">
        <v>60</v>
      </c>
      <c r="L42" s="6" t="n">
        <v>210</v>
      </c>
      <c r="M42" s="6" t="n">
        <v>60</v>
      </c>
    </row>
    <row r="43" customFormat="false" ht="15" hidden="false" customHeight="false" outlineLevel="0" collapsed="false">
      <c r="A43" s="2" t="s">
        <v>18</v>
      </c>
      <c r="B43" s="6" t="n">
        <v>130</v>
      </c>
      <c r="C43" s="6" t="n">
        <v>180</v>
      </c>
      <c r="D43" s="6" t="n">
        <v>140</v>
      </c>
      <c r="E43" s="6" t="n">
        <v>240</v>
      </c>
      <c r="F43" s="6" t="n">
        <v>90</v>
      </c>
      <c r="G43" s="6" t="n">
        <v>180</v>
      </c>
      <c r="H43" s="6" t="n">
        <v>170</v>
      </c>
      <c r="I43" s="6" t="n">
        <v>90</v>
      </c>
      <c r="J43" s="6" t="n">
        <v>140</v>
      </c>
      <c r="K43" s="6" t="n">
        <v>220</v>
      </c>
      <c r="L43" s="6" t="n">
        <v>140</v>
      </c>
      <c r="M43" s="6" t="n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2"/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11</v>
      </c>
    </row>
    <row r="2" customFormat="false" ht="15" hidden="false" customHeight="false" outlineLevel="0" collapsed="false">
      <c r="A2" s="6" t="s">
        <v>40</v>
      </c>
      <c r="B2" s="3" t="n">
        <f aca="false">données!B39*données!$B$17</f>
        <v>1950</v>
      </c>
      <c r="C2" s="3" t="n">
        <f aca="false">données!C39*données!$B$17</f>
        <v>1050</v>
      </c>
      <c r="D2" s="3" t="n">
        <f aca="false">données!D39*données!$B$17</f>
        <v>3750</v>
      </c>
      <c r="E2" s="3" t="n">
        <f aca="false">données!E39*données!$B$17</f>
        <v>3300</v>
      </c>
      <c r="F2" s="3" t="n">
        <f aca="false">données!F39*données!$B$17</f>
        <v>1050</v>
      </c>
      <c r="G2" s="3" t="n">
        <f aca="false">données!G39*données!$B$17</f>
        <v>2250</v>
      </c>
      <c r="H2" s="3" t="n">
        <f aca="false">données!H39*données!$B$17</f>
        <v>1500</v>
      </c>
      <c r="I2" s="3" t="n">
        <f aca="false">données!I39*données!$B$17</f>
        <v>3600</v>
      </c>
      <c r="J2" s="3" t="n">
        <f aca="false">données!J39*données!$B$17</f>
        <v>900</v>
      </c>
      <c r="K2" s="3" t="n">
        <f aca="false">données!K39*données!$B$17</f>
        <v>1050</v>
      </c>
      <c r="L2" s="3" t="n">
        <f aca="false">données!L39*données!$B$17</f>
        <v>1500</v>
      </c>
      <c r="M2" s="3" t="n">
        <f aca="false">données!M39*données!$B$17</f>
        <v>1950</v>
      </c>
      <c r="N2" s="4" t="n">
        <f aca="false">SUM(B2:M2)</f>
        <v>23850</v>
      </c>
    </row>
    <row r="3" customFormat="false" ht="15" hidden="false" customHeight="false" outlineLevel="0" collapsed="false">
      <c r="A3" s="6" t="s">
        <v>41</v>
      </c>
      <c r="B3" s="3" t="n">
        <f aca="false">données!B40*données!$B$18</f>
        <v>2250</v>
      </c>
      <c r="C3" s="3" t="n">
        <f aca="false">données!C40*données!$B$18</f>
        <v>2250</v>
      </c>
      <c r="D3" s="3" t="n">
        <f aca="false">données!D40*données!$B$18</f>
        <v>5250</v>
      </c>
      <c r="E3" s="3" t="n">
        <f aca="false">données!E40*données!$B$18</f>
        <v>2000</v>
      </c>
      <c r="F3" s="3" t="n">
        <f aca="false">données!F40*données!$B$18</f>
        <v>4000</v>
      </c>
      <c r="G3" s="3" t="n">
        <f aca="false">données!G40*données!$B$18</f>
        <v>3500</v>
      </c>
      <c r="H3" s="3" t="n">
        <f aca="false">données!H40*données!$B$18</f>
        <v>5000</v>
      </c>
      <c r="I3" s="3" t="n">
        <f aca="false">données!I40*données!$B$18</f>
        <v>3750</v>
      </c>
      <c r="J3" s="3" t="n">
        <f aca="false">données!J40*données!$B$18</f>
        <v>2250</v>
      </c>
      <c r="K3" s="3" t="n">
        <f aca="false">données!K40*données!$B$18</f>
        <v>4250</v>
      </c>
      <c r="L3" s="3" t="n">
        <f aca="false">données!L40*données!$B$18</f>
        <v>5750</v>
      </c>
      <c r="M3" s="3" t="n">
        <f aca="false">données!M40*données!$B$18</f>
        <v>1500</v>
      </c>
      <c r="N3" s="4" t="n">
        <f aca="false">SUM(B3:M3)</f>
        <v>41750</v>
      </c>
    </row>
    <row r="4" customFormat="false" ht="15" hidden="false" customHeight="false" outlineLevel="0" collapsed="false">
      <c r="A4" s="6" t="s">
        <v>42</v>
      </c>
      <c r="B4" s="3" t="n">
        <f aca="false">données!B41*données!$B$19</f>
        <v>2800</v>
      </c>
      <c r="C4" s="3" t="n">
        <f aca="false">données!C41*données!$B$19</f>
        <v>4550</v>
      </c>
      <c r="D4" s="3" t="n">
        <f aca="false">données!D41*données!$B$19</f>
        <v>6300</v>
      </c>
      <c r="E4" s="3" t="n">
        <f aca="false">données!E41*données!$B$19</f>
        <v>3150</v>
      </c>
      <c r="F4" s="3" t="n">
        <f aca="false">données!F41*données!$B$19</f>
        <v>7350</v>
      </c>
      <c r="G4" s="3" t="n">
        <f aca="false">données!G41*données!$B$19</f>
        <v>8750</v>
      </c>
      <c r="H4" s="3" t="n">
        <f aca="false">données!H41*données!$B$19</f>
        <v>2450</v>
      </c>
      <c r="I4" s="3" t="n">
        <f aca="false">données!I41*données!$B$19</f>
        <v>4900</v>
      </c>
      <c r="J4" s="3" t="n">
        <f aca="false">données!J41*données!$B$19</f>
        <v>2800</v>
      </c>
      <c r="K4" s="3" t="n">
        <f aca="false">données!K41*données!$B$19</f>
        <v>2100</v>
      </c>
      <c r="L4" s="3" t="n">
        <f aca="false">données!L41*données!$B$19</f>
        <v>6650</v>
      </c>
      <c r="M4" s="3" t="n">
        <f aca="false">données!M41*données!$B$19</f>
        <v>4550</v>
      </c>
      <c r="N4" s="4" t="n">
        <f aca="false">SUM(B4:M4)</f>
        <v>56350</v>
      </c>
    </row>
    <row r="5" customFormat="false" ht="15" hidden="false" customHeight="false" outlineLevel="0" collapsed="false">
      <c r="A5" s="6" t="s">
        <v>43</v>
      </c>
      <c r="B5" s="3" t="n">
        <f aca="false">données!B42*données!$B$20</f>
        <v>390</v>
      </c>
      <c r="C5" s="3" t="n">
        <f aca="false">données!C42*données!$B$20</f>
        <v>750</v>
      </c>
      <c r="D5" s="3" t="n">
        <f aca="false">données!D42*données!$B$20</f>
        <v>180</v>
      </c>
      <c r="E5" s="3" t="n">
        <f aca="false">données!E42*données!$B$20</f>
        <v>570</v>
      </c>
      <c r="F5" s="3" t="n">
        <f aca="false">données!F42*données!$B$20</f>
        <v>750</v>
      </c>
      <c r="G5" s="3" t="n">
        <f aca="false">données!G42*données!$B$20</f>
        <v>390</v>
      </c>
      <c r="H5" s="3" t="n">
        <f aca="false">données!H42*données!$B$20</f>
        <v>510</v>
      </c>
      <c r="I5" s="3" t="n">
        <f aca="false">données!I42*données!$B$20</f>
        <v>330</v>
      </c>
      <c r="J5" s="3" t="n">
        <f aca="false">données!J42*données!$B$20</f>
        <v>450</v>
      </c>
      <c r="K5" s="3" t="n">
        <f aca="false">données!K42*données!$B$20</f>
        <v>180</v>
      </c>
      <c r="L5" s="3" t="n">
        <f aca="false">données!L42*données!$B$20</f>
        <v>630</v>
      </c>
      <c r="M5" s="3" t="n">
        <f aca="false">données!M42*données!$B$20</f>
        <v>180</v>
      </c>
      <c r="N5" s="4" t="n">
        <f aca="false">SUM(B5:M5)</f>
        <v>5310</v>
      </c>
    </row>
    <row r="6" customFormat="false" ht="15" hidden="false" customHeight="false" outlineLevel="0" collapsed="false">
      <c r="A6" s="6" t="s">
        <v>44</v>
      </c>
      <c r="B6" s="3" t="n">
        <f aca="false">données!B43*données!$B$21</f>
        <v>780</v>
      </c>
      <c r="C6" s="3" t="n">
        <f aca="false">données!C43*données!$B$21</f>
        <v>1080</v>
      </c>
      <c r="D6" s="3" t="n">
        <f aca="false">données!D43*données!$B$21</f>
        <v>840</v>
      </c>
      <c r="E6" s="3" t="n">
        <f aca="false">données!E43*données!$B$21</f>
        <v>1440</v>
      </c>
      <c r="F6" s="3" t="n">
        <f aca="false">données!F43*données!$B$21</f>
        <v>540</v>
      </c>
      <c r="G6" s="3" t="n">
        <f aca="false">données!G43*données!$B$21</f>
        <v>1080</v>
      </c>
      <c r="H6" s="3" t="n">
        <f aca="false">données!H43*données!$B$21</f>
        <v>1020</v>
      </c>
      <c r="I6" s="3" t="n">
        <f aca="false">données!I43*données!$B$21</f>
        <v>540</v>
      </c>
      <c r="J6" s="3" t="n">
        <f aca="false">données!J43*données!$B$21</f>
        <v>840</v>
      </c>
      <c r="K6" s="3" t="n">
        <f aca="false">données!K43*données!$B$21</f>
        <v>1320</v>
      </c>
      <c r="L6" s="3" t="n">
        <f aca="false">données!L43*données!$B$21</f>
        <v>840</v>
      </c>
      <c r="M6" s="3" t="n">
        <f aca="false">données!M43*données!$B$21</f>
        <v>1140</v>
      </c>
      <c r="N6" s="4" t="n">
        <f aca="false">SUM(B6:M6)</f>
        <v>11460</v>
      </c>
    </row>
    <row r="7" customFormat="false" ht="15" hidden="false" customHeight="false" outlineLevel="0" collapsed="false">
      <c r="A7" s="2" t="s">
        <v>45</v>
      </c>
      <c r="B7" s="4" t="n">
        <f aca="false">SUM(B2:B6)</f>
        <v>8170</v>
      </c>
      <c r="C7" s="4" t="n">
        <f aca="false">SUM(C2:C6)</f>
        <v>9680</v>
      </c>
      <c r="D7" s="4" t="n">
        <f aca="false">SUM(D2:D6)</f>
        <v>16320</v>
      </c>
      <c r="E7" s="4" t="n">
        <f aca="false">SUM(E2:E6)</f>
        <v>10460</v>
      </c>
      <c r="F7" s="4" t="n">
        <f aca="false">SUM(F2:F6)</f>
        <v>13690</v>
      </c>
      <c r="G7" s="4" t="n">
        <f aca="false">SUM(G2:G6)</f>
        <v>15970</v>
      </c>
      <c r="H7" s="4" t="n">
        <f aca="false">SUM(H2:H6)</f>
        <v>10480</v>
      </c>
      <c r="I7" s="4" t="n">
        <f aca="false">SUM(I2:I6)</f>
        <v>13120</v>
      </c>
      <c r="J7" s="4" t="n">
        <f aca="false">SUM(J2:J6)</f>
        <v>7240</v>
      </c>
      <c r="K7" s="4" t="n">
        <f aca="false">SUM(K2:K6)</f>
        <v>8900</v>
      </c>
      <c r="L7" s="4" t="n">
        <f aca="false">SUM(L2:L6)</f>
        <v>15370</v>
      </c>
      <c r="M7" s="4" t="n">
        <f aca="false">SUM(M2:M6)</f>
        <v>9320</v>
      </c>
      <c r="N7" s="4" t="n">
        <f aca="false">SUM(B7:M7)</f>
        <v>138720</v>
      </c>
    </row>
    <row r="8" customFormat="false" ht="15" hidden="false" customHeight="false" outlineLevel="0" collapsed="false">
      <c r="A8" s="2" t="s">
        <v>46</v>
      </c>
      <c r="B8" s="4" t="n">
        <f aca="false">données!$B$12</f>
        <v>4696.66666666667</v>
      </c>
      <c r="C8" s="4" t="n">
        <f aca="false">données!$B$12</f>
        <v>4696.66666666667</v>
      </c>
      <c r="D8" s="4" t="n">
        <f aca="false">données!$B$12</f>
        <v>4696.66666666667</v>
      </c>
      <c r="E8" s="4" t="n">
        <f aca="false">données!$B$12</f>
        <v>4696.66666666667</v>
      </c>
      <c r="F8" s="4" t="n">
        <f aca="false">données!$B$12</f>
        <v>4696.66666666667</v>
      </c>
      <c r="G8" s="4" t="n">
        <f aca="false">données!$B$12</f>
        <v>4696.66666666667</v>
      </c>
      <c r="H8" s="4" t="n">
        <f aca="false">données!$B$12</f>
        <v>4696.66666666667</v>
      </c>
      <c r="I8" s="4" t="n">
        <f aca="false">données!$B$12</f>
        <v>4696.66666666667</v>
      </c>
      <c r="J8" s="4" t="n">
        <f aca="false">données!$B$12</f>
        <v>4696.66666666667</v>
      </c>
      <c r="K8" s="4" t="n">
        <f aca="false">données!$B$12</f>
        <v>4696.66666666667</v>
      </c>
      <c r="L8" s="4" t="n">
        <f aca="false">données!$B$12</f>
        <v>4696.66666666667</v>
      </c>
      <c r="M8" s="4" t="n">
        <f aca="false">données!$B$12</f>
        <v>4696.66666666667</v>
      </c>
      <c r="N8" s="4" t="n">
        <f aca="false">SUM(B8:M8)</f>
        <v>56360</v>
      </c>
    </row>
    <row r="9" customFormat="false" ht="15" hidden="false" customHeight="false" outlineLevel="0" collapsed="false">
      <c r="A9" s="6" t="s">
        <v>47</v>
      </c>
      <c r="B9" s="3" t="n">
        <f aca="false">données!B39*données!$B$26</f>
        <v>1300</v>
      </c>
      <c r="C9" s="3" t="n">
        <f aca="false">données!C39*données!$B$26</f>
        <v>700</v>
      </c>
      <c r="D9" s="3" t="n">
        <f aca="false">données!D39*données!$B$26</f>
        <v>2500</v>
      </c>
      <c r="E9" s="3" t="n">
        <f aca="false">données!E39*données!$B$26</f>
        <v>2200</v>
      </c>
      <c r="F9" s="3" t="n">
        <f aca="false">données!F39*données!$B$26</f>
        <v>700</v>
      </c>
      <c r="G9" s="3" t="n">
        <f aca="false">données!G39*données!$B$26</f>
        <v>1500</v>
      </c>
      <c r="H9" s="3" t="n">
        <f aca="false">données!H39*données!$B$26</f>
        <v>1000</v>
      </c>
      <c r="I9" s="3" t="n">
        <f aca="false">données!I39*données!$B$26</f>
        <v>2400</v>
      </c>
      <c r="J9" s="3" t="n">
        <f aca="false">données!J39*données!$B$26</f>
        <v>600</v>
      </c>
      <c r="K9" s="3" t="n">
        <f aca="false">données!K39*données!$B$26</f>
        <v>700</v>
      </c>
      <c r="L9" s="3" t="n">
        <f aca="false">données!L39*données!$B$26</f>
        <v>1000</v>
      </c>
      <c r="M9" s="3" t="n">
        <f aca="false">données!M39*données!$B$26</f>
        <v>1300</v>
      </c>
      <c r="N9" s="4" t="n">
        <f aca="false">SUM(B9:M9)</f>
        <v>15900</v>
      </c>
    </row>
    <row r="10" customFormat="false" ht="15" hidden="false" customHeight="false" outlineLevel="0" collapsed="false">
      <c r="A10" s="6" t="s">
        <v>48</v>
      </c>
      <c r="B10" s="3" t="n">
        <f aca="false">données!B40*données!$B$27</f>
        <v>1350</v>
      </c>
      <c r="C10" s="3" t="n">
        <f aca="false">données!C40*données!$B$27</f>
        <v>1350</v>
      </c>
      <c r="D10" s="3" t="n">
        <f aca="false">données!D40*données!$B$27</f>
        <v>3150</v>
      </c>
      <c r="E10" s="3" t="n">
        <f aca="false">données!E40*données!$B$27</f>
        <v>1200</v>
      </c>
      <c r="F10" s="3" t="n">
        <f aca="false">données!F40*données!$B$27</f>
        <v>2400</v>
      </c>
      <c r="G10" s="3" t="n">
        <f aca="false">données!G40*données!$B$27</f>
        <v>2100</v>
      </c>
      <c r="H10" s="3" t="n">
        <f aca="false">données!H40*données!$B$27</f>
        <v>3000</v>
      </c>
      <c r="I10" s="3" t="n">
        <f aca="false">données!I40*données!$B$27</f>
        <v>2250</v>
      </c>
      <c r="J10" s="3" t="n">
        <f aca="false">données!J40*données!$B$27</f>
        <v>1350</v>
      </c>
      <c r="K10" s="3" t="n">
        <f aca="false">données!K40*données!$B$27</f>
        <v>2550</v>
      </c>
      <c r="L10" s="3" t="n">
        <f aca="false">données!L40*données!$B$27</f>
        <v>3450</v>
      </c>
      <c r="M10" s="3" t="n">
        <f aca="false">données!M40*données!$B$27</f>
        <v>900</v>
      </c>
      <c r="N10" s="4" t="n">
        <f aca="false">SUM(B10:M10)</f>
        <v>25050</v>
      </c>
    </row>
    <row r="11" customFormat="false" ht="15" hidden="false" customHeight="false" outlineLevel="0" collapsed="false">
      <c r="A11" s="6" t="s">
        <v>49</v>
      </c>
      <c r="B11" s="3" t="n">
        <f aca="false">données!B41*données!$B$28</f>
        <v>1600</v>
      </c>
      <c r="C11" s="3" t="n">
        <f aca="false">données!C41*données!$B$28</f>
        <v>2600</v>
      </c>
      <c r="D11" s="3" t="n">
        <f aca="false">données!D41*données!$B$28</f>
        <v>3600</v>
      </c>
      <c r="E11" s="3" t="n">
        <f aca="false">données!E41*données!$B$28</f>
        <v>1800</v>
      </c>
      <c r="F11" s="3" t="n">
        <f aca="false">données!F41*données!$B$28</f>
        <v>4200</v>
      </c>
      <c r="G11" s="3" t="n">
        <f aca="false">données!G41*données!$B$28</f>
        <v>5000</v>
      </c>
      <c r="H11" s="3" t="n">
        <f aca="false">données!H41*données!$B$28</f>
        <v>1400</v>
      </c>
      <c r="I11" s="3" t="n">
        <f aca="false">données!I41*données!$B$28</f>
        <v>2800</v>
      </c>
      <c r="J11" s="3" t="n">
        <f aca="false">données!J41*données!$B$28</f>
        <v>1600</v>
      </c>
      <c r="K11" s="3" t="n">
        <f aca="false">données!K41*données!$B$28</f>
        <v>1200</v>
      </c>
      <c r="L11" s="3" t="n">
        <f aca="false">données!L41*données!$B$28</f>
        <v>3800</v>
      </c>
      <c r="M11" s="3" t="n">
        <f aca="false">données!M41*données!$B$28</f>
        <v>2600</v>
      </c>
      <c r="N11" s="4" t="n">
        <f aca="false">SUM(B11:M11)</f>
        <v>32200</v>
      </c>
    </row>
    <row r="12" customFormat="false" ht="15" hidden="false" customHeight="false" outlineLevel="0" collapsed="false">
      <c r="A12" s="6" t="s">
        <v>50</v>
      </c>
      <c r="B12" s="3" t="n">
        <f aca="false">données!B42*données!$B$29</f>
        <v>130</v>
      </c>
      <c r="C12" s="3" t="n">
        <f aca="false">données!C42*données!$B$29</f>
        <v>250</v>
      </c>
      <c r="D12" s="3" t="n">
        <f aca="false">données!D42*données!$B$29</f>
        <v>60</v>
      </c>
      <c r="E12" s="3" t="n">
        <f aca="false">données!E42*données!$B$29</f>
        <v>190</v>
      </c>
      <c r="F12" s="3" t="n">
        <f aca="false">données!F42*données!$B$29</f>
        <v>250</v>
      </c>
      <c r="G12" s="3" t="n">
        <f aca="false">données!G42*données!$B$29</f>
        <v>130</v>
      </c>
      <c r="H12" s="3" t="n">
        <f aca="false">données!H42*données!$B$29</f>
        <v>170</v>
      </c>
      <c r="I12" s="3" t="n">
        <f aca="false">données!I42*données!$B$29</f>
        <v>110</v>
      </c>
      <c r="J12" s="3" t="n">
        <f aca="false">données!J42*données!$B$29</f>
        <v>150</v>
      </c>
      <c r="K12" s="3" t="n">
        <f aca="false">données!K42*données!$B$29</f>
        <v>60</v>
      </c>
      <c r="L12" s="3" t="n">
        <f aca="false">données!L42*données!$B$29</f>
        <v>210</v>
      </c>
      <c r="M12" s="3" t="n">
        <f aca="false">données!M42*données!$B$29</f>
        <v>60</v>
      </c>
      <c r="N12" s="4" t="n">
        <f aca="false">SUM(B12:M12)</f>
        <v>1770</v>
      </c>
    </row>
    <row r="13" customFormat="false" ht="15" hidden="false" customHeight="false" outlineLevel="0" collapsed="false">
      <c r="A13" s="6" t="s">
        <v>51</v>
      </c>
      <c r="B13" s="3" t="n">
        <f aca="false">données!B43*données!$B$30</f>
        <v>260</v>
      </c>
      <c r="C13" s="3" t="n">
        <f aca="false">données!C43*données!$B$30</f>
        <v>360</v>
      </c>
      <c r="D13" s="3" t="n">
        <f aca="false">données!D43*données!$B$30</f>
        <v>280</v>
      </c>
      <c r="E13" s="3" t="n">
        <f aca="false">données!E43*données!$B$30</f>
        <v>480</v>
      </c>
      <c r="F13" s="3" t="n">
        <f aca="false">données!F43*données!$B$30</f>
        <v>180</v>
      </c>
      <c r="G13" s="3" t="n">
        <f aca="false">données!G43*données!$B$30</f>
        <v>360</v>
      </c>
      <c r="H13" s="3" t="n">
        <f aca="false">données!H43*données!$B$30</f>
        <v>340</v>
      </c>
      <c r="I13" s="3" t="n">
        <f aca="false">données!I43*données!$B$30</f>
        <v>180</v>
      </c>
      <c r="J13" s="3" t="n">
        <f aca="false">données!J43*données!$B$30</f>
        <v>280</v>
      </c>
      <c r="K13" s="3" t="n">
        <f aca="false">données!K43*données!$B$30</f>
        <v>440</v>
      </c>
      <c r="L13" s="3" t="n">
        <f aca="false">données!L43*données!$B$30</f>
        <v>280</v>
      </c>
      <c r="M13" s="3" t="n">
        <f aca="false">données!M43*données!$B$30</f>
        <v>380</v>
      </c>
      <c r="N13" s="4" t="n">
        <f aca="false">SUM(B13:M13)</f>
        <v>3820</v>
      </c>
    </row>
    <row r="14" customFormat="false" ht="15" hidden="false" customHeight="false" outlineLevel="0" collapsed="false">
      <c r="A14" s="6" t="s">
        <v>21</v>
      </c>
      <c r="B14" s="3" t="n">
        <f aca="false">SUM(B2:B4)*données!$B$32</f>
        <v>700</v>
      </c>
      <c r="C14" s="3" t="n">
        <f aca="false">SUM(C2:C4)*données!$B$32</f>
        <v>785</v>
      </c>
      <c r="D14" s="3" t="n">
        <f aca="false">SUM(D2:D4)*données!$B$32</f>
        <v>1530</v>
      </c>
      <c r="E14" s="3" t="n">
        <f aca="false">SUM(E2:E4)*données!$B$32</f>
        <v>845</v>
      </c>
      <c r="F14" s="3" t="n">
        <f aca="false">SUM(F2:F4)*données!$B$32</f>
        <v>1240</v>
      </c>
      <c r="G14" s="3" t="n">
        <f aca="false">SUM(G2:G4)*données!$B$32</f>
        <v>1450</v>
      </c>
      <c r="H14" s="3" t="n">
        <f aca="false">SUM(H2:H4)*données!$B$32</f>
        <v>895</v>
      </c>
      <c r="I14" s="3" t="n">
        <f aca="false">SUM(I2:I4)*données!$B$32</f>
        <v>1225</v>
      </c>
      <c r="J14" s="3" t="n">
        <f aca="false">SUM(J2:J4)*données!$B$32</f>
        <v>595</v>
      </c>
      <c r="K14" s="3" t="n">
        <f aca="false">SUM(K2:K4)*données!$B$32</f>
        <v>740</v>
      </c>
      <c r="L14" s="3" t="n">
        <f aca="false">SUM(L2:L4)*données!$B$32</f>
        <v>1390</v>
      </c>
      <c r="M14" s="3" t="n">
        <f aca="false">SUM(M2:M4)*données!$B$32</f>
        <v>800</v>
      </c>
      <c r="N14" s="4" t="n">
        <f aca="false">SUM(B14:M14)</f>
        <v>12195</v>
      </c>
    </row>
    <row r="15" customFormat="false" ht="15" hidden="false" customHeight="false" outlineLevel="0" collapsed="false">
      <c r="A15" s="6" t="s">
        <v>22</v>
      </c>
      <c r="B15" s="3" t="n">
        <f aca="false">SUM(B5:B6)*données!$B$33</f>
        <v>234</v>
      </c>
      <c r="C15" s="3" t="n">
        <f aca="false">SUM(C5:C6)*données!$B$33</f>
        <v>366</v>
      </c>
      <c r="D15" s="3" t="n">
        <f aca="false">SUM(D5:D6)*données!$B$33</f>
        <v>204</v>
      </c>
      <c r="E15" s="3" t="n">
        <f aca="false">SUM(E5:E6)*données!$B$33</f>
        <v>402</v>
      </c>
      <c r="F15" s="3" t="n">
        <f aca="false">SUM(F5:F6)*données!$B$33</f>
        <v>258</v>
      </c>
      <c r="G15" s="3" t="n">
        <f aca="false">SUM(G5:G6)*données!$B$33</f>
        <v>294</v>
      </c>
      <c r="H15" s="3" t="n">
        <f aca="false">SUM(H5:H6)*données!$B$33</f>
        <v>306</v>
      </c>
      <c r="I15" s="3" t="n">
        <f aca="false">SUM(I5:I6)*données!$B$33</f>
        <v>174</v>
      </c>
      <c r="J15" s="3" t="n">
        <f aca="false">SUM(J5:J6)*données!$B$33</f>
        <v>258</v>
      </c>
      <c r="K15" s="3" t="n">
        <f aca="false">SUM(K5:K6)*données!$B$33</f>
        <v>300</v>
      </c>
      <c r="L15" s="3" t="n">
        <f aca="false">SUM(L5:L6)*données!$B$33</f>
        <v>294</v>
      </c>
      <c r="M15" s="3" t="n">
        <f aca="false">SUM(M5:M6)*données!$B$33</f>
        <v>264</v>
      </c>
      <c r="N15" s="4" t="n">
        <f aca="false">SUM(B15:M15)</f>
        <v>3354</v>
      </c>
    </row>
    <row r="16" customFormat="false" ht="15" hidden="false" customHeight="false" outlineLevel="0" collapsed="false">
      <c r="A16" s="2" t="s">
        <v>52</v>
      </c>
      <c r="B16" s="4" t="n">
        <f aca="false">SUM(B9:B15)</f>
        <v>5574</v>
      </c>
      <c r="C16" s="4" t="n">
        <f aca="false">SUM(C9:C15)</f>
        <v>6411</v>
      </c>
      <c r="D16" s="4" t="n">
        <f aca="false">SUM(D9:D15)</f>
        <v>11324</v>
      </c>
      <c r="E16" s="4" t="n">
        <f aca="false">SUM(E9:E15)</f>
        <v>7117</v>
      </c>
      <c r="F16" s="4" t="n">
        <f aca="false">SUM(F9:F15)</f>
        <v>9228</v>
      </c>
      <c r="G16" s="4" t="n">
        <f aca="false">SUM(G9:G15)</f>
        <v>10834</v>
      </c>
      <c r="H16" s="4" t="n">
        <f aca="false">SUM(H9:H15)</f>
        <v>7111</v>
      </c>
      <c r="I16" s="4" t="n">
        <f aca="false">SUM(I9:I15)</f>
        <v>9139</v>
      </c>
      <c r="J16" s="4" t="n">
        <f aca="false">SUM(J9:J15)</f>
        <v>4833</v>
      </c>
      <c r="K16" s="4" t="n">
        <f aca="false">SUM(K9:K15)</f>
        <v>5990</v>
      </c>
      <c r="L16" s="4" t="n">
        <f aca="false">SUM(L9:L15)</f>
        <v>10424</v>
      </c>
      <c r="M16" s="4" t="n">
        <f aca="false">SUM(M9:M15)</f>
        <v>6304</v>
      </c>
      <c r="N16" s="4" t="n">
        <f aca="false">SUM(B16:M16)</f>
        <v>94289</v>
      </c>
    </row>
    <row r="17" customFormat="false" ht="15" hidden="false" customHeight="false" outlineLevel="0" collapsed="false">
      <c r="A17" s="2" t="s">
        <v>53</v>
      </c>
      <c r="B17" s="4" t="n">
        <f aca="false">B8+B16</f>
        <v>10270.6666666667</v>
      </c>
      <c r="C17" s="4" t="n">
        <f aca="false">C8+C16</f>
        <v>11107.6666666667</v>
      </c>
      <c r="D17" s="4" t="n">
        <f aca="false">D8+D16</f>
        <v>16020.6666666667</v>
      </c>
      <c r="E17" s="4" t="n">
        <f aca="false">E8+E16</f>
        <v>11813.6666666667</v>
      </c>
      <c r="F17" s="4" t="n">
        <f aca="false">F8+F16</f>
        <v>13924.6666666667</v>
      </c>
      <c r="G17" s="4" t="n">
        <f aca="false">G8+G16</f>
        <v>15530.6666666667</v>
      </c>
      <c r="H17" s="4" t="n">
        <f aca="false">H8+H16</f>
        <v>11807.6666666667</v>
      </c>
      <c r="I17" s="4" t="n">
        <f aca="false">I8+I16</f>
        <v>13835.6666666667</v>
      </c>
      <c r="J17" s="4" t="n">
        <f aca="false">J8+J16</f>
        <v>9529.66666666667</v>
      </c>
      <c r="K17" s="4" t="n">
        <f aca="false">K8+K16</f>
        <v>10686.6666666667</v>
      </c>
      <c r="L17" s="4" t="n">
        <f aca="false">L8+L16</f>
        <v>15120.6666666667</v>
      </c>
      <c r="M17" s="4" t="n">
        <f aca="false">M8+M16</f>
        <v>11000.6666666667</v>
      </c>
      <c r="N17" s="4" t="n">
        <f aca="false">SUM(B17:M17)</f>
        <v>150649</v>
      </c>
    </row>
    <row r="18" customFormat="false" ht="15" hidden="false" customHeight="false" outlineLevel="0" collapsed="false">
      <c r="A18" s="2" t="s">
        <v>54</v>
      </c>
      <c r="B18" s="4" t="n">
        <f aca="false">B7-B17</f>
        <v>-2100.66666666667</v>
      </c>
      <c r="C18" s="4" t="n">
        <f aca="false">C7-C17</f>
        <v>-1427.66666666667</v>
      </c>
      <c r="D18" s="4" t="n">
        <f aca="false">D7-D17</f>
        <v>299.333333333332</v>
      </c>
      <c r="E18" s="4" t="n">
        <f aca="false">E7-E17</f>
        <v>-1353.66666666667</v>
      </c>
      <c r="F18" s="4" t="n">
        <f aca="false">F7-F17</f>
        <v>-234.666666666668</v>
      </c>
      <c r="G18" s="4" t="n">
        <f aca="false">G7-G17</f>
        <v>439.333333333332</v>
      </c>
      <c r="H18" s="4" t="n">
        <f aca="false">H7-H17</f>
        <v>-1327.66666666667</v>
      </c>
      <c r="I18" s="4" t="n">
        <f aca="false">I7-I17</f>
        <v>-715.666666666668</v>
      </c>
      <c r="J18" s="4" t="n">
        <f aca="false">J7-J17</f>
        <v>-2289.66666666667</v>
      </c>
      <c r="K18" s="4" t="n">
        <f aca="false">K7-K17</f>
        <v>-1786.66666666667</v>
      </c>
      <c r="L18" s="4" t="n">
        <f aca="false">L7-L17</f>
        <v>249.333333333332</v>
      </c>
      <c r="M18" s="4" t="n">
        <f aca="false">M7-M17</f>
        <v>-1680.66666666667</v>
      </c>
      <c r="N18" s="4" t="n">
        <f aca="false">SUM(B18:M18)</f>
        <v>-11929</v>
      </c>
    </row>
  </sheetData>
  <conditionalFormatting sqref="B18:N1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55</v>
      </c>
    </row>
    <row r="3" customFormat="false" ht="15" hidden="false" customHeight="false" outlineLevel="0" collapsed="false">
      <c r="A3" s="2" t="s">
        <v>56</v>
      </c>
      <c r="B3" s="4" t="n">
        <f aca="false">'bilan 2016'!N18</f>
        <v>-11929</v>
      </c>
    </row>
    <row r="5" customFormat="false" ht="15" hidden="false" customHeight="false" outlineLevel="0" collapsed="false">
      <c r="A5" s="2" t="s">
        <v>57</v>
      </c>
      <c r="B5" s="5" t="n">
        <v>0.05</v>
      </c>
    </row>
    <row r="6" customFormat="false" ht="15" hidden="false" customHeight="false" outlineLevel="0" collapsed="false">
      <c r="A6" s="6" t="s">
        <v>58</v>
      </c>
      <c r="B6" s="3" t="n">
        <f aca="false">'bilan 2016'!N14+'bilan 2016'!N15</f>
        <v>15549</v>
      </c>
    </row>
    <row r="7" customFormat="false" ht="15" hidden="false" customHeight="false" outlineLevel="0" collapsed="false">
      <c r="A7" s="6" t="s">
        <v>59</v>
      </c>
      <c r="B7" s="3" t="n">
        <f aca="false">'bilan 2016'!N7*B5</f>
        <v>6936</v>
      </c>
    </row>
    <row r="8" customFormat="false" ht="15" hidden="false" customHeight="false" outlineLevel="0" collapsed="false">
      <c r="A8" s="2" t="s">
        <v>60</v>
      </c>
      <c r="B8" s="4" t="n">
        <f aca="false">B3+B6-B7</f>
        <v>-3316.00000000001</v>
      </c>
    </row>
    <row r="10" customFormat="false" ht="15" hidden="false" customHeight="false" outlineLevel="0" collapsed="false">
      <c r="A10" s="2" t="s">
        <v>61</v>
      </c>
      <c r="B10" s="3" t="n">
        <v>2</v>
      </c>
    </row>
    <row r="11" customFormat="false" ht="15" hidden="false" customHeight="false" outlineLevel="0" collapsed="false">
      <c r="A11" s="6" t="s">
        <v>62</v>
      </c>
      <c r="B11" s="6" t="n">
        <f aca="false">SUM(données!B39:M41)</f>
        <v>4870</v>
      </c>
    </row>
    <row r="12" customFormat="false" ht="15" hidden="false" customHeight="false" outlineLevel="0" collapsed="false">
      <c r="A12" s="6" t="s">
        <v>63</v>
      </c>
      <c r="B12" s="3" t="n">
        <f aca="false">B10*B11*(1-B5)</f>
        <v>9253</v>
      </c>
    </row>
    <row r="13" customFormat="false" ht="15" hidden="false" customHeight="false" outlineLevel="0" collapsed="false">
      <c r="A13" s="2" t="s">
        <v>64</v>
      </c>
      <c r="B13" s="4" t="n">
        <f aca="false">B8+B12</f>
        <v>5936.99999999999</v>
      </c>
    </row>
    <row r="15" customFormat="false" ht="15" hidden="false" customHeight="false" outlineLevel="0" collapsed="false">
      <c r="A15" s="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2026-09-23T18:21:04Z</dcterms:created>
  <dc:creator>openpyxl</dc:creator>
  <dc:description/>
  <dc:language>en-US</dc:language>
  <cp:lastModifiedBy/>
  <dcterms:modified xsi:type="dcterms:W3CDTF">2026-09-23T18:21:06Z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